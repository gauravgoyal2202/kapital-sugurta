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ИХТИЁРИЙ" sheetId="2" r:id="rId1"/>
    <sheet name="2025.1" sheetId="3" r:id="rId2"/>
  </sheets>
  <definedNames>
    <definedName name="_xlnm._FilterDatabase" localSheetId="0" hidden="1">ИХТИЁРИЙ!$A$5:$IW$117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45587.5223842593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ИХТИЁРИЙ!#REF!,ИХТИЁРИЙ!#REF!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2" i="2" l="1"/>
  <c r="Z5" i="2"/>
  <c r="AH5" i="2" l="1"/>
  <c r="IW5" i="2" s="1"/>
</calcChain>
</file>

<file path=xl/sharedStrings.xml><?xml version="1.0" encoding="utf-8"?>
<sst xmlns="http://schemas.openxmlformats.org/spreadsheetml/2006/main" count="1916" uniqueCount="223">
  <si>
    <t>№</t>
  </si>
  <si>
    <t>Суғурталанувчи суғурталанган ҳудудий тармоқ</t>
  </si>
  <si>
    <t>Суғурталанувчи суғурталанган Филиал (бўлинмалар)</t>
  </si>
  <si>
    <t xml:space="preserve">Хабарномани қабул қилган ҳудудий тармоқ </t>
  </si>
  <si>
    <t xml:space="preserve">Сугурта ходисаси хакида ариза бер  </t>
  </si>
  <si>
    <t>Сугурта ходисаси хакида ариза берилган  ёки СДҲЭБга топширилган даъво иши санаси</t>
  </si>
  <si>
    <t xml:space="preserve">Суғурта тури </t>
  </si>
  <si>
    <t>Класс</t>
  </si>
  <si>
    <t>Ю/Ф</t>
  </si>
  <si>
    <t>Сугурталанувчи</t>
  </si>
  <si>
    <t>Жабрланувчи</t>
  </si>
  <si>
    <t>шартнома рақами</t>
  </si>
  <si>
    <t>Полис рақами</t>
  </si>
  <si>
    <t>Сугурта ходисаси содир булган сана</t>
  </si>
  <si>
    <t>Хабар килинган зарарлар миқдори</t>
  </si>
  <si>
    <t xml:space="preserve">Хабар қилинган зарарларни бартараф этиш жараёнида унинг миқдорининг ўзгариши тўғрисида маълумот </t>
  </si>
  <si>
    <t>Сугурта ходисаси сабаби</t>
  </si>
  <si>
    <t>Бартараф килинган даъволар</t>
  </si>
  <si>
    <t>Рад этиш сабаби</t>
  </si>
  <si>
    <t>Дело рақами</t>
  </si>
  <si>
    <t>Зарарни бартараф қилиш бўйича харажат (3%)</t>
  </si>
  <si>
    <t>Жами бартараф этилмаган зарарлар</t>
  </si>
  <si>
    <t>зарарланган суғурта объекти</t>
  </si>
  <si>
    <t>Регресс бўйича ундириладиган сумма</t>
  </si>
  <si>
    <t>Ижрочи</t>
  </si>
  <si>
    <t>Изоҳ</t>
  </si>
  <si>
    <t>НАФ ОЛУВЧИ</t>
  </si>
  <si>
    <t>ТВ Тури(двигатель хажми)</t>
  </si>
  <si>
    <t>ИНН (СТИР )</t>
  </si>
  <si>
    <t>Сугурта копламаси</t>
  </si>
  <si>
    <t>Коплама рад этилди</t>
  </si>
  <si>
    <t>ЮР/ЛИЦ</t>
  </si>
  <si>
    <t>мулкка</t>
  </si>
  <si>
    <t>согликка</t>
  </si>
  <si>
    <t>қарор тартиб рақами</t>
  </si>
  <si>
    <t>қарор қабул қилинган сана</t>
  </si>
  <si>
    <t>қоплама тўланган сана</t>
  </si>
  <si>
    <t>жами (19 устун+20 устун)</t>
  </si>
  <si>
    <t>валюта бирлиги</t>
  </si>
  <si>
    <t>Сана</t>
  </si>
  <si>
    <t>ТГФ</t>
  </si>
  <si>
    <t>Бош офис</t>
  </si>
  <si>
    <t>ю</t>
  </si>
  <si>
    <t>сўм</t>
  </si>
  <si>
    <t>Ё.Касимов</t>
  </si>
  <si>
    <t>кредит мажбурияти тулдирилмаган</t>
  </si>
  <si>
    <t>ф</t>
  </si>
  <si>
    <t>ТОФ</t>
  </si>
  <si>
    <t>"Анор Банк" АЖ</t>
  </si>
  <si>
    <t>"Acino Pharma" AG Ваколатхонаси</t>
  </si>
  <si>
    <t>Пр-во " Sandoz Pharmaceuticals d/d"</t>
  </si>
  <si>
    <t>Бухоро</t>
  </si>
  <si>
    <t>Сотув бўлими</t>
  </si>
  <si>
    <t>СЦ Фаровон</t>
  </si>
  <si>
    <t>СЦ Юнусабад</t>
  </si>
  <si>
    <t>кредит мажбурияти бажарилмаган</t>
  </si>
  <si>
    <t>Д.Рахимова</t>
  </si>
  <si>
    <t>ДМС</t>
  </si>
  <si>
    <t>OOO "ESADO GROUP''</t>
  </si>
  <si>
    <t>2200/205/1/2200353</t>
  </si>
  <si>
    <t>тиббий хизмат</t>
  </si>
  <si>
    <t>Л.Исламходжаева</t>
  </si>
  <si>
    <t>Представительство «NOVARTIS PHARMA SERVICES AG»</t>
  </si>
  <si>
    <t xml:space="preserve">JTI TURON INC МЧЖ </t>
  </si>
  <si>
    <t>"UZCASETRAKTOR" МЧЖ</t>
  </si>
  <si>
    <t>"CNH INDUSTRIAL FRANCE" Ваколатхонаси</t>
  </si>
  <si>
    <t>УзПСБ</t>
  </si>
  <si>
    <t xml:space="preserve">АО СК SQB Inshurance </t>
  </si>
  <si>
    <t>KS-SQB/2023/18</t>
  </si>
  <si>
    <t>қайта суғурталаш</t>
  </si>
  <si>
    <t>ухудшения здоровья</t>
  </si>
  <si>
    <t>Тревл</t>
  </si>
  <si>
    <t>“ASPI MANAGEMENT AG” Ассистанс компанияс</t>
  </si>
  <si>
    <t>Представительство TOYOTA TSUSHO CORPORATION</t>
  </si>
  <si>
    <t>"Trast Bank" ХАБ</t>
  </si>
  <si>
    <t>0105/510/1/2300434</t>
  </si>
  <si>
    <t>0200/205/1/2300488</t>
  </si>
  <si>
    <t>2200/205/1/2300761</t>
  </si>
  <si>
    <t>2200/205/1/2300686</t>
  </si>
  <si>
    <t>УзРесММТВ</t>
  </si>
  <si>
    <t>0105/205/1/2301896</t>
  </si>
  <si>
    <t>0200/205/1/2300448</t>
  </si>
  <si>
    <t>СТРАХОВАЯ КОМПАНИЯ GROSS АЖ</t>
  </si>
  <si>
    <t>TRASTBANK  ХАБ</t>
  </si>
  <si>
    <t>VOL/01/03/2024</t>
  </si>
  <si>
    <t>СП ООО УЗКЕЙССЕРВИС</t>
  </si>
  <si>
    <t>СП ООО UZCASEMASH</t>
  </si>
  <si>
    <t>0200/205/1/2400024</t>
  </si>
  <si>
    <t>Посольство Грузии в Республике Узбекистан</t>
  </si>
  <si>
    <t>0200/205/1/2301330</t>
  </si>
  <si>
    <t>0200/205/1/2400065</t>
  </si>
  <si>
    <t>0200/205/1/2400064</t>
  </si>
  <si>
    <t>0200/205/1/2300374</t>
  </si>
  <si>
    <t>0200/205/1/2400025</t>
  </si>
  <si>
    <t>0200/205/1/2400445</t>
  </si>
  <si>
    <t>205/01/20/08/24</t>
  </si>
  <si>
    <t>205/02/20/08/24</t>
  </si>
  <si>
    <t>205/03/20/08/24</t>
  </si>
  <si>
    <t>205/04/20/08/24</t>
  </si>
  <si>
    <t>205/05/20/08/24</t>
  </si>
  <si>
    <t>205/06/20/08/24</t>
  </si>
  <si>
    <t>205/07/20/08/24</t>
  </si>
  <si>
    <t>205/08/20/08/24</t>
  </si>
  <si>
    <t>0200/205/1/2400448</t>
  </si>
  <si>
    <t>Бордеро №8</t>
  </si>
  <si>
    <t>0200/205/1/2401889</t>
  </si>
  <si>
    <t>Представительство «TOO SIMENS»</t>
  </si>
  <si>
    <t>2200/205/1/2400214</t>
  </si>
  <si>
    <t>2200/205/1/2402003</t>
  </si>
  <si>
    <t>205/01/05/11/24</t>
  </si>
  <si>
    <t>ООО «В2В HUB»</t>
  </si>
  <si>
    <t>2200/205/1/2401920</t>
  </si>
  <si>
    <t>Бордеро №10</t>
  </si>
  <si>
    <t>Инновация лойихалари бошқармаси</t>
  </si>
  <si>
    <t>205/01/17/12/24</t>
  </si>
  <si>
    <t>Бордеро №15 (проф.осмотр)</t>
  </si>
  <si>
    <t>0200/205/1/2400455</t>
  </si>
  <si>
    <t>0105/205/1/2400226</t>
  </si>
  <si>
    <t>0200/205/1/2403143</t>
  </si>
  <si>
    <t>205/02/17/12/24</t>
  </si>
  <si>
    <t>205/03/17/12/24</t>
  </si>
  <si>
    <t>205/04/17/12/24</t>
  </si>
  <si>
    <t>205/05/17/12/24</t>
  </si>
  <si>
    <t>205/06/17/12/24</t>
  </si>
  <si>
    <t>205/07/17/12/24</t>
  </si>
  <si>
    <t>205/08/17/12/24</t>
  </si>
  <si>
    <t>205/09/17/12/24</t>
  </si>
  <si>
    <t>205/10/17/12/24</t>
  </si>
  <si>
    <t>205/11/17/12/24</t>
  </si>
  <si>
    <t>205/12/17/12/24</t>
  </si>
  <si>
    <t>Бордеро №14</t>
  </si>
  <si>
    <t>Бордеро №16</t>
  </si>
  <si>
    <t>205/01/11/02/25</t>
  </si>
  <si>
    <t>205/02/11/02/25</t>
  </si>
  <si>
    <t>Бордеро №2 (Вакцинация)</t>
  </si>
  <si>
    <t>Представительство «SIEMENS ENERGY LLP.»</t>
  </si>
  <si>
    <t>205/01/18/03/25</t>
  </si>
  <si>
    <t>205/02/18/03/25</t>
  </si>
  <si>
    <t>205/03/18/03/25</t>
  </si>
  <si>
    <t>205/04/18/03/25</t>
  </si>
  <si>
    <t>205/05/18/03/25</t>
  </si>
  <si>
    <t>205/06/18/03/25</t>
  </si>
  <si>
    <t>205/07/18/03/25</t>
  </si>
  <si>
    <t>205/08/18/03/25</t>
  </si>
  <si>
    <t>205/09/18/03/25</t>
  </si>
  <si>
    <t>205/10/18/03/25</t>
  </si>
  <si>
    <t>205/11/18/03/25</t>
  </si>
  <si>
    <t>205/12/18/03/25</t>
  </si>
  <si>
    <t>205/13/18/03/25</t>
  </si>
  <si>
    <t>Бордеро №3</t>
  </si>
  <si>
    <t>қайта суғурта (перестрахование) фин.риск</t>
  </si>
  <si>
    <t>KS-SQB/2023/33</t>
  </si>
  <si>
    <t>KS-SQB/2023/34</t>
  </si>
  <si>
    <t>KS-SQB/2023/35</t>
  </si>
  <si>
    <t>2200/205/1/2400448</t>
  </si>
  <si>
    <t>0200/205/1/2400230</t>
  </si>
  <si>
    <t>0200/205/1/2404214</t>
  </si>
  <si>
    <t>205/01/01/04/25</t>
  </si>
  <si>
    <t>205/02/01/04/25</t>
  </si>
  <si>
    <t>205/03/01/04/25</t>
  </si>
  <si>
    <t>205/04/01/04/25</t>
  </si>
  <si>
    <t>205/05/01/04/25</t>
  </si>
  <si>
    <t>205/06/01/04/25</t>
  </si>
  <si>
    <t>205/07/01/04/25</t>
  </si>
  <si>
    <t>205/09/01/04/25</t>
  </si>
  <si>
    <t>205/08/01/04/25</t>
  </si>
  <si>
    <t>205/10/01/04/25</t>
  </si>
  <si>
    <t>205/11/01/04/25</t>
  </si>
  <si>
    <t>205/12/01/04/25</t>
  </si>
  <si>
    <t>205/13/01/04/25</t>
  </si>
  <si>
    <t>Бордеро №4</t>
  </si>
  <si>
    <t>205/01/29/04/25</t>
  </si>
  <si>
    <t>Бордеро №5 (Вакцинация)</t>
  </si>
  <si>
    <t>Представительство ALPEN PHARMA AG</t>
  </si>
  <si>
    <t>0105/205/1/2400701</t>
  </si>
  <si>
    <t>0200/205/1/2500017</t>
  </si>
  <si>
    <t>0200/205/1/2500016</t>
  </si>
  <si>
    <t>0200/205/1/2500019</t>
  </si>
  <si>
    <t>205/01/13/05/25</t>
  </si>
  <si>
    <t>205/02/13/05/25</t>
  </si>
  <si>
    <t>205/03/13/05/25</t>
  </si>
  <si>
    <t>205/04/13/05/25</t>
  </si>
  <si>
    <t>205/05/13/05/25</t>
  </si>
  <si>
    <t>205/06/13/05/25</t>
  </si>
  <si>
    <t>205/07/13/05/25</t>
  </si>
  <si>
    <t>205/08/13/05/25</t>
  </si>
  <si>
    <t>205/09/13/05/25</t>
  </si>
  <si>
    <t>205/10/13/05/25</t>
  </si>
  <si>
    <t>205/11/13/05/25</t>
  </si>
  <si>
    <t>205/12/13/05/25</t>
  </si>
  <si>
    <t>Бордеро №7</t>
  </si>
  <si>
    <t>СЦ Олтин Олма</t>
  </si>
  <si>
    <t>Эм Юлия</t>
  </si>
  <si>
    <t>Мансурова Дилорам</t>
  </si>
  <si>
    <t>Мансуров Комронбек</t>
  </si>
  <si>
    <t>Эргашхщжазода Саидаълохон</t>
  </si>
  <si>
    <t>Клименко Виктория</t>
  </si>
  <si>
    <t>Петров Александр</t>
  </si>
  <si>
    <t>Хамидов Акмал Баходирович</t>
  </si>
  <si>
    <t>Рахимов Азизбек</t>
  </si>
  <si>
    <t>Хамидова Феруза</t>
  </si>
  <si>
    <t>0311/207/3/2403027</t>
  </si>
  <si>
    <t>0700/207/3/2403552</t>
  </si>
  <si>
    <t>0105/207/3/2402885</t>
  </si>
  <si>
    <t>0110/207/3/2403796</t>
  </si>
  <si>
    <t>0700/207/3/2400025</t>
  </si>
  <si>
    <t>2600/207/3/2402760</t>
  </si>
  <si>
    <t>ETI 3027</t>
  </si>
  <si>
    <t>ETI 3552</t>
  </si>
  <si>
    <t>ETI 2885</t>
  </si>
  <si>
    <t>ETI 3796</t>
  </si>
  <si>
    <t>TI 6064</t>
  </si>
  <si>
    <t>ETI 2760</t>
  </si>
  <si>
    <t>Фин.риск</t>
  </si>
  <si>
    <t>0100/510/1/2301760</t>
  </si>
  <si>
    <t>0100/502/1/2400610</t>
  </si>
  <si>
    <t>ТЕНГЕ БАНК АТБ</t>
  </si>
  <si>
    <t>Личное страхование</t>
  </si>
  <si>
    <t>Финансовые риски</t>
  </si>
  <si>
    <t>Группа</t>
  </si>
  <si>
    <t>Продукт</t>
  </si>
  <si>
    <t>Сумма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</si>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</sst>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р_."/>
  </numFmts>
  <fonts count="8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6" fillId="0" borderId="0"/>
  </cellStyleXfs>
  <cellXfs count="3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1" fontId="3" fillId="2" borderId="0" xfId="1" applyNumberFormat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4" fontId="3" fillId="2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 wrapText="1"/>
    </xf>
    <xf numFmtId="0" fontId="7" fillId="2" borderId="1" xfId="3" applyFont="1" applyFill="1" applyBorder="1"/>
    <xf numFmtId="9" fontId="3" fillId="2" borderId="1" xfId="1" applyNumberFormat="1" applyFont="1" applyFill="1" applyBorder="1" applyAlignment="1">
      <alignment horizontal="center" vertical="center" wrapText="1"/>
    </xf>
    <xf numFmtId="4" fontId="3" fillId="0" borderId="0" xfId="1" applyNumberFormat="1" applyFont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</cellXfs>
  <cellStyles count="4">
    <cellStyle name="Normal" xfId="0" builtinId="0"/>
    <cellStyle name="Обычный 2" xfId="1"/>
    <cellStyle name="Обычный 3" xfId="3"/>
    <cellStyle name="Обычный_Претензия 2009-это мое" xfId="2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122"/>
  <sheetViews>
    <sheetView tabSelected="1" topLeftCell="AK1" zoomScale="130" zoomScaleNormal="130" zoomScaleSheetLayoutView="40" workbookViewId="0">
      <pane ySplit="5" topLeftCell="A48" activePane="bottomLeft" state="frozen"/>
      <selection activeCell="M2859" sqref="M2859"/>
      <selection pane="bottomLeft" activeCell="P1" sqref="P1:P1048576"/>
    </sheetView>
  </sheetViews>
  <sheetFormatPr defaultColWidth="9.140625" defaultRowHeight="11.25" x14ac:dyDescent="0.25"/>
  <cols>
    <col min="1" max="1" width="4.85546875" style="20" customWidth="1"/>
    <col min="2" max="2" width="13.85546875" style="5" customWidth="1"/>
    <col min="3" max="3" width="35" style="4" customWidth="1"/>
    <col min="4" max="4" width="9.28515625" style="4" customWidth="1"/>
    <col min="5" max="5" width="10.140625" style="5" customWidth="1"/>
    <col min="6" max="7" width="16.28515625" style="5" customWidth="1"/>
    <col min="8" max="8" width="32.42578125" style="4" customWidth="1"/>
    <col min="9" max="9" width="7.85546875" style="4" customWidth="1"/>
    <col min="10" max="10" width="4.42578125" style="4" customWidth="1"/>
    <col min="11" max="11" width="14.5703125" style="5" customWidth="1"/>
    <col min="12" max="12" width="43.140625" style="21" bestFit="1" customWidth="1"/>
    <col min="13" max="13" width="50.140625" style="21" customWidth="1"/>
    <col min="14" max="14" width="19.7109375" style="4" customWidth="1"/>
    <col min="15" max="15" width="10" style="4" customWidth="1"/>
    <col min="16" max="16" width="8.85546875" style="4" customWidth="1"/>
    <col min="17" max="17" width="15.7109375" style="22" customWidth="1"/>
    <col min="18" max="18" width="13.42578125" style="22" customWidth="1"/>
    <col min="19" max="19" width="15" style="22" customWidth="1"/>
    <col min="20" max="20" width="26.85546875" style="4" customWidth="1"/>
    <col min="21" max="21" width="12.7109375" style="4" customWidth="1"/>
    <col min="22" max="22" width="10" style="23" customWidth="1"/>
    <col min="23" max="23" width="12" style="4" customWidth="1"/>
    <col min="24" max="24" width="16.140625" style="22" customWidth="1"/>
    <col min="25" max="25" width="14.7109375" style="22" customWidth="1"/>
    <col min="26" max="26" width="15.85546875" style="22" customWidth="1"/>
    <col min="27" max="27" width="15.28515625" style="4" customWidth="1"/>
    <col min="28" max="28" width="12.42578125" style="4" bestFit="1" customWidth="1"/>
    <col min="29" max="29" width="29.140625" style="4" customWidth="1"/>
    <col min="30" max="31" width="9.42578125" style="4" customWidth="1"/>
    <col min="32" max="32" width="13.5703125" style="4" customWidth="1"/>
    <col min="33" max="33" width="41.5703125" style="4" customWidth="1"/>
    <col min="34" max="34" width="17" style="22" customWidth="1"/>
    <col min="35" max="35" width="16" style="4" customWidth="1"/>
    <col min="36" max="36" width="32.85546875" style="24" customWidth="1"/>
    <col min="37" max="37" width="51" style="24" customWidth="1"/>
    <col min="38" max="38" width="17.7109375" style="5" customWidth="1"/>
    <col min="39" max="207" width="9.140625" style="4"/>
    <col min="208" max="256" width="9.140625" style="5"/>
    <col min="257" max="257" width="9.5703125" style="5" bestFit="1" customWidth="1"/>
    <col min="258" max="16384" width="9.140625" style="5"/>
  </cols>
  <sheetData>
    <row r="1" spans="1:257" ht="11.25" customHeight="1" x14ac:dyDescent="0.25">
      <c r="A1" s="33" t="s">
        <v>0</v>
      </c>
      <c r="B1" s="34" t="s">
        <v>1</v>
      </c>
      <c r="C1" s="35" t="s">
        <v>2</v>
      </c>
      <c r="D1" s="35" t="s">
        <v>3</v>
      </c>
      <c r="E1" s="34" t="s">
        <v>4</v>
      </c>
      <c r="F1" s="34" t="s">
        <v>5</v>
      </c>
      <c r="G1" s="1"/>
      <c r="H1" s="35" t="s">
        <v>6</v>
      </c>
      <c r="I1" s="35" t="s">
        <v>7</v>
      </c>
      <c r="J1" s="35" t="s">
        <v>8</v>
      </c>
      <c r="K1" s="1"/>
      <c r="L1" s="34" t="s">
        <v>9</v>
      </c>
      <c r="M1" s="34" t="s">
        <v>10</v>
      </c>
      <c r="N1" s="32" t="s">
        <v>11</v>
      </c>
      <c r="O1" s="35" t="s">
        <v>12</v>
      </c>
      <c r="P1" s="35" t="s">
        <v>13</v>
      </c>
      <c r="Q1" s="36" t="s">
        <v>14</v>
      </c>
      <c r="R1" s="36"/>
      <c r="S1" s="36" t="s">
        <v>15</v>
      </c>
      <c r="T1" s="35" t="s">
        <v>16</v>
      </c>
      <c r="U1" s="2"/>
      <c r="V1" s="37" t="s">
        <v>17</v>
      </c>
      <c r="W1" s="35"/>
      <c r="X1" s="35"/>
      <c r="Y1" s="35"/>
      <c r="Z1" s="35"/>
      <c r="AA1" s="35"/>
      <c r="AB1" s="35"/>
      <c r="AC1" s="35" t="s">
        <v>18</v>
      </c>
      <c r="AD1" s="35" t="s">
        <v>19</v>
      </c>
      <c r="AE1" s="35" t="s">
        <v>20</v>
      </c>
      <c r="AF1" s="35" t="s">
        <v>21</v>
      </c>
      <c r="AG1" s="35" t="s">
        <v>22</v>
      </c>
      <c r="AH1" s="36" t="s">
        <v>23</v>
      </c>
      <c r="AI1" s="35" t="s">
        <v>24</v>
      </c>
      <c r="AJ1" s="35" t="s">
        <v>25</v>
      </c>
      <c r="AK1" s="35" t="s">
        <v>26</v>
      </c>
      <c r="AL1" s="34" t="s">
        <v>27</v>
      </c>
      <c r="AM1" s="3"/>
    </row>
    <row r="2" spans="1:257" ht="21" customHeight="1" x14ac:dyDescent="0.25">
      <c r="A2" s="33"/>
      <c r="B2" s="34"/>
      <c r="C2" s="35"/>
      <c r="D2" s="35"/>
      <c r="E2" s="34"/>
      <c r="F2" s="34"/>
      <c r="G2" s="1"/>
      <c r="H2" s="35"/>
      <c r="I2" s="35"/>
      <c r="J2" s="35"/>
      <c r="K2" s="1" t="s">
        <v>28</v>
      </c>
      <c r="L2" s="34"/>
      <c r="M2" s="34"/>
      <c r="N2" s="32"/>
      <c r="O2" s="35"/>
      <c r="P2" s="35"/>
      <c r="Q2" s="36"/>
      <c r="R2" s="36"/>
      <c r="S2" s="36"/>
      <c r="T2" s="35"/>
      <c r="U2" s="2"/>
      <c r="V2" s="37" t="s">
        <v>29</v>
      </c>
      <c r="W2" s="35"/>
      <c r="X2" s="35"/>
      <c r="Y2" s="35"/>
      <c r="Z2" s="35"/>
      <c r="AA2" s="6"/>
      <c r="AB2" s="2" t="s">
        <v>30</v>
      </c>
      <c r="AC2" s="35"/>
      <c r="AD2" s="35"/>
      <c r="AE2" s="35"/>
      <c r="AF2" s="35"/>
      <c r="AG2" s="35"/>
      <c r="AH2" s="36"/>
      <c r="AI2" s="35"/>
      <c r="AJ2" s="35"/>
      <c r="AK2" s="35"/>
      <c r="AL2" s="34"/>
      <c r="AM2" s="3"/>
    </row>
    <row r="3" spans="1:257" ht="42" x14ac:dyDescent="0.25">
      <c r="A3" s="33"/>
      <c r="B3" s="34"/>
      <c r="C3" s="35"/>
      <c r="D3" s="35"/>
      <c r="E3" s="34"/>
      <c r="F3" s="34"/>
      <c r="G3" s="1"/>
      <c r="H3" s="35"/>
      <c r="I3" s="35"/>
      <c r="J3" s="35"/>
      <c r="K3" s="1" t="s">
        <v>31</v>
      </c>
      <c r="L3" s="34"/>
      <c r="M3" s="34"/>
      <c r="N3" s="32"/>
      <c r="O3" s="35"/>
      <c r="P3" s="35"/>
      <c r="Q3" s="7" t="s">
        <v>14</v>
      </c>
      <c r="R3" s="7" t="s">
        <v>33</v>
      </c>
      <c r="S3" s="36"/>
      <c r="T3" s="35"/>
      <c r="U3" s="2" t="s">
        <v>34</v>
      </c>
      <c r="V3" s="8" t="s">
        <v>35</v>
      </c>
      <c r="W3" s="2" t="s">
        <v>36</v>
      </c>
      <c r="X3" s="7" t="s">
        <v>32</v>
      </c>
      <c r="Y3" s="7" t="s">
        <v>33</v>
      </c>
      <c r="Z3" s="30" t="s">
        <v>37</v>
      </c>
      <c r="AA3" s="2" t="s">
        <v>38</v>
      </c>
      <c r="AB3" s="6" t="s">
        <v>39</v>
      </c>
      <c r="AC3" s="35"/>
      <c r="AD3" s="35"/>
      <c r="AE3" s="35"/>
      <c r="AF3" s="35"/>
      <c r="AG3" s="35"/>
      <c r="AH3" s="36"/>
      <c r="AI3" s="35"/>
      <c r="AJ3" s="35"/>
      <c r="AK3" s="35"/>
      <c r="AL3" s="34"/>
      <c r="AM3" s="3"/>
    </row>
    <row r="4" spans="1:257" x14ac:dyDescent="0.25">
      <c r="A4" s="9">
        <v>1</v>
      </c>
      <c r="B4" s="10">
        <v>2</v>
      </c>
      <c r="C4" s="6"/>
      <c r="D4" s="6">
        <v>3</v>
      </c>
      <c r="E4" s="10">
        <v>4</v>
      </c>
      <c r="F4" s="10">
        <v>5</v>
      </c>
      <c r="G4" s="10"/>
      <c r="H4" s="6">
        <v>6</v>
      </c>
      <c r="I4" s="6"/>
      <c r="J4" s="6">
        <v>7</v>
      </c>
      <c r="K4" s="10"/>
      <c r="L4" s="1">
        <v>8</v>
      </c>
      <c r="M4" s="1">
        <v>9</v>
      </c>
      <c r="N4" s="6">
        <v>10</v>
      </c>
      <c r="O4" s="6">
        <v>11</v>
      </c>
      <c r="P4" s="6">
        <v>12</v>
      </c>
      <c r="Q4" s="7">
        <v>13</v>
      </c>
      <c r="R4" s="7">
        <v>14</v>
      </c>
      <c r="S4" s="7">
        <v>15</v>
      </c>
      <c r="T4" s="6">
        <v>16</v>
      </c>
      <c r="U4" s="6">
        <v>17</v>
      </c>
      <c r="V4" s="6">
        <v>18</v>
      </c>
      <c r="W4" s="6">
        <v>19</v>
      </c>
      <c r="X4" s="6">
        <v>20</v>
      </c>
      <c r="Y4" s="6">
        <v>21</v>
      </c>
      <c r="Z4" s="6">
        <v>22</v>
      </c>
      <c r="AA4" s="6">
        <v>23</v>
      </c>
      <c r="AB4" s="6">
        <v>24</v>
      </c>
      <c r="AC4" s="6">
        <v>25</v>
      </c>
      <c r="AD4" s="6">
        <v>26</v>
      </c>
      <c r="AE4" s="6">
        <v>27</v>
      </c>
      <c r="AF4" s="6">
        <v>28</v>
      </c>
      <c r="AG4" s="6">
        <v>29</v>
      </c>
      <c r="AH4" s="7">
        <v>30</v>
      </c>
      <c r="AI4" s="6">
        <v>31</v>
      </c>
      <c r="AJ4" s="2">
        <v>32</v>
      </c>
      <c r="AK4" s="11">
        <v>33</v>
      </c>
      <c r="AL4" s="12"/>
      <c r="AM4" s="3"/>
    </row>
    <row r="5" spans="1:257" ht="12" customHeight="1" x14ac:dyDescent="0.25">
      <c r="A5" s="9"/>
      <c r="B5" s="13"/>
      <c r="C5" s="13"/>
      <c r="D5" s="6"/>
      <c r="E5" s="10"/>
      <c r="F5" s="10"/>
      <c r="G5" s="10"/>
      <c r="H5" s="6"/>
      <c r="I5" s="6"/>
      <c r="J5" s="6"/>
      <c r="K5" s="10"/>
      <c r="L5" s="1"/>
      <c r="M5" s="1"/>
      <c r="N5" s="6"/>
      <c r="O5" s="6"/>
      <c r="P5" s="6"/>
      <c r="Q5" s="7"/>
      <c r="R5" s="7"/>
      <c r="S5" s="7"/>
      <c r="T5" s="6"/>
      <c r="U5" s="6"/>
      <c r="V5" s="14"/>
      <c r="W5" s="6"/>
      <c r="X5" s="7"/>
      <c r="Y5" s="7"/>
      <c r="Z5" s="7">
        <f>SUBTOTAL(9,Z14:Z117)</f>
        <v>24069456580.009995</v>
      </c>
      <c r="AA5" s="6"/>
      <c r="AB5" s="6"/>
      <c r="AC5" s="6"/>
      <c r="AD5" s="6"/>
      <c r="AE5" s="6"/>
      <c r="AF5" s="6"/>
      <c r="AG5" s="6"/>
      <c r="AH5" s="7">
        <f>SUBTOTAL(9,AH14:AH51)</f>
        <v>0</v>
      </c>
      <c r="AI5" s="6"/>
      <c r="AJ5" s="2"/>
      <c r="AK5" s="11"/>
      <c r="AL5" s="12"/>
      <c r="AM5" s="3"/>
      <c r="IW5" s="15">
        <f>SUM(A5:IV5)</f>
        <v>24069456580.009995</v>
      </c>
    </row>
    <row r="6" spans="1:257" ht="11.25" customHeight="1" x14ac:dyDescent="0.25">
      <c r="A6" s="25"/>
      <c r="B6" s="12" t="s">
        <v>47</v>
      </c>
      <c r="C6" s="12" t="s">
        <v>191</v>
      </c>
      <c r="D6" s="12" t="s">
        <v>41</v>
      </c>
      <c r="E6" s="18">
        <v>45831</v>
      </c>
      <c r="F6" s="18">
        <v>45831</v>
      </c>
      <c r="G6" s="18" t="s">
        <v>217</v>
      </c>
      <c r="H6" s="31" t="s">
        <v>71</v>
      </c>
      <c r="I6" s="12">
        <v>1.2</v>
      </c>
      <c r="J6" s="12" t="s">
        <v>46</v>
      </c>
      <c r="K6" s="12"/>
      <c r="L6" s="16" t="s">
        <v>192</v>
      </c>
      <c r="M6" s="16" t="s">
        <v>192</v>
      </c>
      <c r="N6" s="12" t="s">
        <v>201</v>
      </c>
      <c r="O6" s="12" t="s">
        <v>207</v>
      </c>
      <c r="P6" s="18">
        <v>45421</v>
      </c>
      <c r="Q6" s="19"/>
      <c r="R6" s="19"/>
      <c r="S6" s="19"/>
      <c r="T6" s="12" t="s">
        <v>70</v>
      </c>
      <c r="U6" s="12">
        <v>147</v>
      </c>
      <c r="V6" s="18">
        <v>45467</v>
      </c>
      <c r="W6" s="18"/>
      <c r="X6" s="19"/>
      <c r="Y6" s="19"/>
      <c r="Z6" s="19"/>
      <c r="AA6" s="12" t="s">
        <v>43</v>
      </c>
      <c r="AB6" s="12"/>
      <c r="AC6" s="12"/>
      <c r="AD6" s="12"/>
      <c r="AE6" s="12"/>
      <c r="AF6" s="12"/>
      <c r="AG6" s="16" t="s">
        <v>192</v>
      </c>
      <c r="AH6" s="19"/>
      <c r="AI6" s="12" t="s">
        <v>56</v>
      </c>
      <c r="AJ6" s="16"/>
      <c r="AK6" s="16" t="s">
        <v>72</v>
      </c>
      <c r="AL6" s="12"/>
      <c r="AM6" s="12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</row>
    <row r="7" spans="1:257" ht="11.25" customHeight="1" x14ac:dyDescent="0.25">
      <c r="A7" s="25"/>
      <c r="B7" s="12" t="s">
        <v>51</v>
      </c>
      <c r="C7" s="12" t="s">
        <v>51</v>
      </c>
      <c r="D7" s="12" t="s">
        <v>41</v>
      </c>
      <c r="E7" s="18">
        <v>45831</v>
      </c>
      <c r="F7" s="18">
        <v>45831</v>
      </c>
      <c r="G7" s="18" t="s">
        <v>217</v>
      </c>
      <c r="H7" s="31" t="s">
        <v>71</v>
      </c>
      <c r="I7" s="12">
        <v>1.2</v>
      </c>
      <c r="J7" s="12" t="s">
        <v>46</v>
      </c>
      <c r="K7" s="12"/>
      <c r="L7" s="16" t="s">
        <v>193</v>
      </c>
      <c r="M7" s="16" t="s">
        <v>193</v>
      </c>
      <c r="N7" s="12" t="s">
        <v>202</v>
      </c>
      <c r="O7" s="12" t="s">
        <v>208</v>
      </c>
      <c r="P7" s="18">
        <v>45522</v>
      </c>
      <c r="Q7" s="19"/>
      <c r="R7" s="19"/>
      <c r="S7" s="19"/>
      <c r="T7" s="12" t="s">
        <v>70</v>
      </c>
      <c r="U7" s="12">
        <v>147</v>
      </c>
      <c r="V7" s="18">
        <v>45467</v>
      </c>
      <c r="W7" s="18"/>
      <c r="X7" s="19"/>
      <c r="Y7" s="19"/>
      <c r="Z7" s="19"/>
      <c r="AA7" s="12" t="s">
        <v>43</v>
      </c>
      <c r="AB7" s="12"/>
      <c r="AC7" s="12"/>
      <c r="AD7" s="12"/>
      <c r="AE7" s="12"/>
      <c r="AF7" s="12"/>
      <c r="AG7" s="16" t="s">
        <v>193</v>
      </c>
      <c r="AH7" s="19"/>
      <c r="AI7" s="12" t="s">
        <v>56</v>
      </c>
      <c r="AJ7" s="16"/>
      <c r="AK7" s="16" t="s">
        <v>72</v>
      </c>
      <c r="AL7" s="12"/>
      <c r="AM7" s="12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</row>
    <row r="8" spans="1:257" ht="11.25" customHeight="1" x14ac:dyDescent="0.25">
      <c r="A8" s="25"/>
      <c r="B8" s="12" t="s">
        <v>51</v>
      </c>
      <c r="C8" s="12" t="s">
        <v>51</v>
      </c>
      <c r="D8" s="12" t="s">
        <v>41</v>
      </c>
      <c r="E8" s="18">
        <v>45831</v>
      </c>
      <c r="F8" s="18">
        <v>45831</v>
      </c>
      <c r="G8" s="18" t="s">
        <v>217</v>
      </c>
      <c r="H8" s="31" t="s">
        <v>71</v>
      </c>
      <c r="I8" s="12">
        <v>1.2</v>
      </c>
      <c r="J8" s="12" t="s">
        <v>46</v>
      </c>
      <c r="K8" s="12"/>
      <c r="L8" s="16" t="s">
        <v>193</v>
      </c>
      <c r="M8" s="12" t="s">
        <v>194</v>
      </c>
      <c r="N8" s="12" t="s">
        <v>202</v>
      </c>
      <c r="O8" s="12" t="s">
        <v>208</v>
      </c>
      <c r="P8" s="18">
        <v>45522</v>
      </c>
      <c r="Q8" s="19"/>
      <c r="R8" s="19"/>
      <c r="S8" s="19"/>
      <c r="T8" s="12" t="s">
        <v>70</v>
      </c>
      <c r="U8" s="12">
        <v>147</v>
      </c>
      <c r="V8" s="18">
        <v>45467</v>
      </c>
      <c r="W8" s="18"/>
      <c r="X8" s="19"/>
      <c r="Y8" s="19"/>
      <c r="Z8" s="19"/>
      <c r="AA8" s="12" t="s">
        <v>43</v>
      </c>
      <c r="AB8" s="12"/>
      <c r="AC8" s="12"/>
      <c r="AD8" s="12"/>
      <c r="AE8" s="12"/>
      <c r="AF8" s="12"/>
      <c r="AG8" s="12" t="s">
        <v>194</v>
      </c>
      <c r="AH8" s="19"/>
      <c r="AI8" s="12" t="s">
        <v>56</v>
      </c>
      <c r="AJ8" s="16"/>
      <c r="AK8" s="16" t="s">
        <v>72</v>
      </c>
      <c r="AL8" s="12"/>
      <c r="AM8" s="12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</row>
    <row r="9" spans="1:257" ht="11.25" customHeight="1" x14ac:dyDescent="0.25">
      <c r="A9" s="25"/>
      <c r="B9" s="12" t="s">
        <v>41</v>
      </c>
      <c r="C9" s="12" t="s">
        <v>41</v>
      </c>
      <c r="D9" s="12" t="s">
        <v>41</v>
      </c>
      <c r="E9" s="18">
        <v>45831</v>
      </c>
      <c r="F9" s="18">
        <v>45831</v>
      </c>
      <c r="G9" s="18" t="s">
        <v>217</v>
      </c>
      <c r="H9" s="31" t="s">
        <v>71</v>
      </c>
      <c r="I9" s="12">
        <v>1.2</v>
      </c>
      <c r="J9" s="12" t="s">
        <v>46</v>
      </c>
      <c r="K9" s="12"/>
      <c r="L9" s="16" t="s">
        <v>195</v>
      </c>
      <c r="M9" s="16" t="s">
        <v>195</v>
      </c>
      <c r="N9" s="12" t="s">
        <v>203</v>
      </c>
      <c r="O9" s="12" t="s">
        <v>209</v>
      </c>
      <c r="P9" s="18">
        <v>45447</v>
      </c>
      <c r="Q9" s="19"/>
      <c r="R9" s="19"/>
      <c r="S9" s="19"/>
      <c r="T9" s="12" t="s">
        <v>70</v>
      </c>
      <c r="U9" s="12">
        <v>147</v>
      </c>
      <c r="V9" s="18">
        <v>45467</v>
      </c>
      <c r="W9" s="18"/>
      <c r="X9" s="19"/>
      <c r="Y9" s="19"/>
      <c r="Z9" s="19"/>
      <c r="AA9" s="12" t="s">
        <v>43</v>
      </c>
      <c r="AB9" s="12"/>
      <c r="AC9" s="12"/>
      <c r="AD9" s="12"/>
      <c r="AE9" s="12"/>
      <c r="AF9" s="12"/>
      <c r="AG9" s="16" t="s">
        <v>195</v>
      </c>
      <c r="AH9" s="19"/>
      <c r="AI9" s="12" t="s">
        <v>56</v>
      </c>
      <c r="AJ9" s="16"/>
      <c r="AK9" s="16" t="s">
        <v>72</v>
      </c>
      <c r="AL9" s="12"/>
      <c r="AM9" s="12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</row>
    <row r="10" spans="1:257" ht="11.25" customHeight="1" x14ac:dyDescent="0.25">
      <c r="A10" s="25"/>
      <c r="B10" s="12" t="s">
        <v>47</v>
      </c>
      <c r="C10" s="12" t="s">
        <v>191</v>
      </c>
      <c r="D10" s="12" t="s">
        <v>41</v>
      </c>
      <c r="E10" s="18">
        <v>45831</v>
      </c>
      <c r="F10" s="18">
        <v>45831</v>
      </c>
      <c r="G10" s="18" t="s">
        <v>217</v>
      </c>
      <c r="H10" s="31" t="s">
        <v>71</v>
      </c>
      <c r="I10" s="12">
        <v>1.2</v>
      </c>
      <c r="J10" s="12" t="s">
        <v>46</v>
      </c>
      <c r="K10" s="12"/>
      <c r="L10" s="16" t="s">
        <v>192</v>
      </c>
      <c r="M10" s="16" t="s">
        <v>192</v>
      </c>
      <c r="N10" s="12" t="s">
        <v>201</v>
      </c>
      <c r="O10" s="12" t="s">
        <v>207</v>
      </c>
      <c r="P10" s="18">
        <v>45454</v>
      </c>
      <c r="Q10" s="19"/>
      <c r="R10" s="19"/>
      <c r="S10" s="19"/>
      <c r="T10" s="12" t="s">
        <v>70</v>
      </c>
      <c r="U10" s="12">
        <v>147</v>
      </c>
      <c r="V10" s="18">
        <v>45467</v>
      </c>
      <c r="W10" s="18"/>
      <c r="X10" s="19"/>
      <c r="Y10" s="19"/>
      <c r="Z10" s="19"/>
      <c r="AA10" s="12" t="s">
        <v>43</v>
      </c>
      <c r="AB10" s="12"/>
      <c r="AC10" s="12"/>
      <c r="AD10" s="12"/>
      <c r="AE10" s="12"/>
      <c r="AF10" s="12"/>
      <c r="AG10" s="16" t="s">
        <v>192</v>
      </c>
      <c r="AH10" s="19"/>
      <c r="AI10" s="12" t="s">
        <v>56</v>
      </c>
      <c r="AJ10" s="16"/>
      <c r="AK10" s="16" t="s">
        <v>72</v>
      </c>
      <c r="AL10" s="12"/>
      <c r="AM10" s="12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</row>
    <row r="11" spans="1:257" ht="11.25" customHeight="1" x14ac:dyDescent="0.25">
      <c r="A11" s="25"/>
      <c r="B11" s="12" t="s">
        <v>41</v>
      </c>
      <c r="C11" s="12" t="s">
        <v>113</v>
      </c>
      <c r="D11" s="12" t="s">
        <v>41</v>
      </c>
      <c r="E11" s="18">
        <v>45831</v>
      </c>
      <c r="F11" s="18">
        <v>45831</v>
      </c>
      <c r="G11" s="18" t="s">
        <v>217</v>
      </c>
      <c r="H11" s="31" t="s">
        <v>71</v>
      </c>
      <c r="I11" s="12">
        <v>1.2</v>
      </c>
      <c r="J11" s="12" t="s">
        <v>46</v>
      </c>
      <c r="K11" s="12"/>
      <c r="L11" s="16" t="s">
        <v>196</v>
      </c>
      <c r="M11" s="12" t="s">
        <v>197</v>
      </c>
      <c r="N11" s="12" t="s">
        <v>204</v>
      </c>
      <c r="O11" s="12" t="s">
        <v>210</v>
      </c>
      <c r="P11" s="18">
        <v>45525</v>
      </c>
      <c r="Q11" s="19"/>
      <c r="R11" s="19"/>
      <c r="S11" s="19"/>
      <c r="T11" s="12" t="s">
        <v>70</v>
      </c>
      <c r="U11" s="12">
        <v>147</v>
      </c>
      <c r="V11" s="18">
        <v>45467</v>
      </c>
      <c r="W11" s="18"/>
      <c r="X11" s="19"/>
      <c r="Y11" s="19"/>
      <c r="Z11" s="19"/>
      <c r="AA11" s="12" t="s">
        <v>43</v>
      </c>
      <c r="AB11" s="12"/>
      <c r="AC11" s="12"/>
      <c r="AD11" s="12"/>
      <c r="AE11" s="12"/>
      <c r="AF11" s="12"/>
      <c r="AG11" s="12" t="s">
        <v>197</v>
      </c>
      <c r="AH11" s="19"/>
      <c r="AI11" s="12" t="s">
        <v>56</v>
      </c>
      <c r="AJ11" s="16"/>
      <c r="AK11" s="16" t="s">
        <v>72</v>
      </c>
      <c r="AL11" s="12"/>
      <c r="AM11" s="12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</row>
    <row r="12" spans="1:257" ht="11.25" customHeight="1" x14ac:dyDescent="0.25">
      <c r="A12" s="25"/>
      <c r="B12" s="12" t="s">
        <v>51</v>
      </c>
      <c r="C12" s="12" t="s">
        <v>51</v>
      </c>
      <c r="D12" s="12" t="s">
        <v>41</v>
      </c>
      <c r="E12" s="18">
        <v>45831</v>
      </c>
      <c r="F12" s="18">
        <v>45831</v>
      </c>
      <c r="G12" s="18" t="s">
        <v>217</v>
      </c>
      <c r="H12" s="31" t="s">
        <v>71</v>
      </c>
      <c r="I12" s="12">
        <v>1.2</v>
      </c>
      <c r="J12" s="12" t="s">
        <v>46</v>
      </c>
      <c r="K12" s="12"/>
      <c r="L12" s="16" t="s">
        <v>198</v>
      </c>
      <c r="M12" s="12" t="s">
        <v>200</v>
      </c>
      <c r="N12" s="12" t="s">
        <v>205</v>
      </c>
      <c r="O12" s="12" t="s">
        <v>211</v>
      </c>
      <c r="P12" s="18">
        <v>45313</v>
      </c>
      <c r="Q12" s="19"/>
      <c r="R12" s="19"/>
      <c r="S12" s="19"/>
      <c r="T12" s="12" t="s">
        <v>70</v>
      </c>
      <c r="U12" s="12">
        <v>147</v>
      </c>
      <c r="V12" s="18">
        <v>45467</v>
      </c>
      <c r="W12" s="18"/>
      <c r="X12" s="19"/>
      <c r="Y12" s="19"/>
      <c r="Z12" s="19"/>
      <c r="AA12" s="12" t="s">
        <v>43</v>
      </c>
      <c r="AB12" s="12"/>
      <c r="AC12" s="12"/>
      <c r="AD12" s="12"/>
      <c r="AE12" s="12"/>
      <c r="AF12" s="12"/>
      <c r="AG12" s="12" t="s">
        <v>200</v>
      </c>
      <c r="AH12" s="19"/>
      <c r="AI12" s="12" t="s">
        <v>56</v>
      </c>
      <c r="AJ12" s="16"/>
      <c r="AK12" s="16" t="s">
        <v>72</v>
      </c>
      <c r="AL12" s="12"/>
      <c r="AM12" s="12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</row>
    <row r="13" spans="1:257" ht="11.25" customHeight="1" x14ac:dyDescent="0.25">
      <c r="A13" s="25"/>
      <c r="B13" s="12" t="s">
        <v>40</v>
      </c>
      <c r="C13" s="12" t="s">
        <v>53</v>
      </c>
      <c r="D13" s="12" t="s">
        <v>41</v>
      </c>
      <c r="E13" s="18">
        <v>45831</v>
      </c>
      <c r="F13" s="18">
        <v>45831</v>
      </c>
      <c r="G13" s="18" t="s">
        <v>217</v>
      </c>
      <c r="H13" s="31" t="s">
        <v>71</v>
      </c>
      <c r="I13" s="12">
        <v>1.2</v>
      </c>
      <c r="J13" s="12" t="s">
        <v>46</v>
      </c>
      <c r="K13" s="12"/>
      <c r="L13" s="16" t="s">
        <v>199</v>
      </c>
      <c r="M13" s="16" t="s">
        <v>199</v>
      </c>
      <c r="N13" s="12" t="s">
        <v>206</v>
      </c>
      <c r="O13" s="12" t="s">
        <v>212</v>
      </c>
      <c r="P13" s="18">
        <v>45387</v>
      </c>
      <c r="Q13" s="19"/>
      <c r="R13" s="19"/>
      <c r="S13" s="19"/>
      <c r="T13" s="12" t="s">
        <v>70</v>
      </c>
      <c r="U13" s="12">
        <v>147</v>
      </c>
      <c r="V13" s="18">
        <v>45467</v>
      </c>
      <c r="W13" s="18"/>
      <c r="X13" s="19"/>
      <c r="Y13" s="19"/>
      <c r="Z13" s="19"/>
      <c r="AA13" s="12" t="s">
        <v>43</v>
      </c>
      <c r="AB13" s="12"/>
      <c r="AC13" s="12"/>
      <c r="AD13" s="12"/>
      <c r="AE13" s="12"/>
      <c r="AF13" s="12"/>
      <c r="AG13" s="16" t="s">
        <v>199</v>
      </c>
      <c r="AH13" s="19"/>
      <c r="AI13" s="12" t="s">
        <v>56</v>
      </c>
      <c r="AJ13" s="16"/>
      <c r="AK13" s="16" t="s">
        <v>72</v>
      </c>
      <c r="AL13" s="12"/>
      <c r="AM13" s="12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</row>
    <row r="14" spans="1:257" ht="11.25" customHeight="1" x14ac:dyDescent="0.25">
      <c r="A14" s="25"/>
      <c r="B14" s="12" t="s">
        <v>40</v>
      </c>
      <c r="C14" s="12" t="s">
        <v>54</v>
      </c>
      <c r="D14" s="12" t="s">
        <v>41</v>
      </c>
      <c r="E14" s="18">
        <v>45667</v>
      </c>
      <c r="F14" s="18">
        <v>45667</v>
      </c>
      <c r="G14" s="18" t="s">
        <v>217</v>
      </c>
      <c r="H14" s="31" t="s">
        <v>57</v>
      </c>
      <c r="I14" s="12">
        <v>2</v>
      </c>
      <c r="J14" s="12" t="s">
        <v>42</v>
      </c>
      <c r="K14" s="12"/>
      <c r="L14" s="16" t="s">
        <v>63</v>
      </c>
      <c r="M14" s="16" t="s">
        <v>58</v>
      </c>
      <c r="N14" s="12" t="s">
        <v>77</v>
      </c>
      <c r="O14" s="12"/>
      <c r="P14" s="18">
        <v>45566</v>
      </c>
      <c r="Q14" s="19"/>
      <c r="R14" s="19">
        <v>25596814.32</v>
      </c>
      <c r="S14" s="19">
        <v>25596814.32</v>
      </c>
      <c r="T14" s="12" t="s">
        <v>60</v>
      </c>
      <c r="U14" s="12" t="s">
        <v>114</v>
      </c>
      <c r="V14" s="18">
        <v>45685</v>
      </c>
      <c r="W14" s="18"/>
      <c r="X14" s="19"/>
      <c r="Y14" s="19">
        <v>25596814.32</v>
      </c>
      <c r="Z14" s="19">
        <v>25596814.32</v>
      </c>
      <c r="AA14" s="12" t="s">
        <v>43</v>
      </c>
      <c r="AB14" s="12"/>
      <c r="AC14" s="12"/>
      <c r="AD14" s="12"/>
      <c r="AE14" s="12"/>
      <c r="AF14" s="12"/>
      <c r="AG14" s="16"/>
      <c r="AH14" s="26"/>
      <c r="AI14" s="12" t="s">
        <v>61</v>
      </c>
      <c r="AJ14" s="16" t="s">
        <v>131</v>
      </c>
      <c r="AK14" s="12" t="s">
        <v>58</v>
      </c>
      <c r="AL14" s="12"/>
      <c r="AM14" s="12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</row>
    <row r="15" spans="1:257" ht="11.25" customHeight="1" x14ac:dyDescent="0.25">
      <c r="A15" s="25"/>
      <c r="B15" s="12" t="s">
        <v>40</v>
      </c>
      <c r="C15" s="12" t="s">
        <v>40</v>
      </c>
      <c r="D15" s="12" t="s">
        <v>41</v>
      </c>
      <c r="E15" s="18">
        <v>45667</v>
      </c>
      <c r="F15" s="18">
        <v>45667</v>
      </c>
      <c r="G15" s="18" t="s">
        <v>217</v>
      </c>
      <c r="H15" s="31" t="s">
        <v>57</v>
      </c>
      <c r="I15" s="12">
        <v>2</v>
      </c>
      <c r="J15" s="12" t="s">
        <v>42</v>
      </c>
      <c r="K15" s="12"/>
      <c r="L15" s="17" t="s">
        <v>86</v>
      </c>
      <c r="M15" s="16" t="s">
        <v>58</v>
      </c>
      <c r="N15" s="12" t="s">
        <v>87</v>
      </c>
      <c r="O15" s="12"/>
      <c r="P15" s="18">
        <v>45566</v>
      </c>
      <c r="Q15" s="19"/>
      <c r="R15" s="19">
        <v>2962800</v>
      </c>
      <c r="S15" s="19">
        <v>2962800</v>
      </c>
      <c r="T15" s="12" t="s">
        <v>60</v>
      </c>
      <c r="U15" s="12" t="s">
        <v>119</v>
      </c>
      <c r="V15" s="18">
        <v>45685</v>
      </c>
      <c r="W15" s="18"/>
      <c r="X15" s="19"/>
      <c r="Y15" s="19">
        <v>2962800</v>
      </c>
      <c r="Z15" s="19">
        <v>2962800</v>
      </c>
      <c r="AA15" s="25" t="s">
        <v>43</v>
      </c>
      <c r="AB15" s="12"/>
      <c r="AC15" s="12"/>
      <c r="AD15" s="12"/>
      <c r="AE15" s="12"/>
      <c r="AF15" s="12"/>
      <c r="AG15" s="16"/>
      <c r="AH15" s="26"/>
      <c r="AI15" s="12" t="s">
        <v>61</v>
      </c>
      <c r="AJ15" s="16" t="s">
        <v>131</v>
      </c>
      <c r="AK15" s="12" t="s">
        <v>58</v>
      </c>
      <c r="AL15" s="12"/>
      <c r="AM15" s="12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</row>
    <row r="16" spans="1:257" ht="15" customHeight="1" x14ac:dyDescent="0.25">
      <c r="A16" s="27"/>
      <c r="B16" s="12" t="s">
        <v>40</v>
      </c>
      <c r="C16" s="12" t="s">
        <v>40</v>
      </c>
      <c r="D16" s="12" t="s">
        <v>41</v>
      </c>
      <c r="E16" s="18">
        <v>45667</v>
      </c>
      <c r="F16" s="18">
        <v>45667</v>
      </c>
      <c r="G16" s="18" t="s">
        <v>217</v>
      </c>
      <c r="H16" s="31" t="s">
        <v>57</v>
      </c>
      <c r="I16" s="12">
        <v>2</v>
      </c>
      <c r="J16" s="12" t="s">
        <v>42</v>
      </c>
      <c r="K16" s="12"/>
      <c r="L16" s="17" t="s">
        <v>85</v>
      </c>
      <c r="M16" s="16" t="s">
        <v>58</v>
      </c>
      <c r="N16" s="12" t="s">
        <v>91</v>
      </c>
      <c r="O16" s="12"/>
      <c r="P16" s="18">
        <v>45566</v>
      </c>
      <c r="Q16" s="19"/>
      <c r="R16" s="19">
        <v>11721072.029999999</v>
      </c>
      <c r="S16" s="19">
        <v>11721072.029999999</v>
      </c>
      <c r="T16" s="12" t="s">
        <v>60</v>
      </c>
      <c r="U16" s="12" t="s">
        <v>120</v>
      </c>
      <c r="V16" s="18">
        <v>45685</v>
      </c>
      <c r="W16" s="18"/>
      <c r="X16" s="19"/>
      <c r="Y16" s="19">
        <v>11721072.029999999</v>
      </c>
      <c r="Z16" s="19">
        <v>11721072.029999999</v>
      </c>
      <c r="AA16" s="25" t="s">
        <v>43</v>
      </c>
      <c r="AB16" s="12"/>
      <c r="AC16" s="12"/>
      <c r="AD16" s="12"/>
      <c r="AE16" s="12"/>
      <c r="AF16" s="12"/>
      <c r="AG16" s="16"/>
      <c r="AH16" s="26"/>
      <c r="AI16" s="12" t="s">
        <v>61</v>
      </c>
      <c r="AJ16" s="16" t="s">
        <v>131</v>
      </c>
      <c r="AK16" s="12" t="s">
        <v>58</v>
      </c>
      <c r="AL16" s="12"/>
      <c r="AM16" s="12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</row>
    <row r="17" spans="1:207" ht="15" customHeight="1" x14ac:dyDescent="0.25">
      <c r="A17" s="27"/>
      <c r="B17" s="12" t="s">
        <v>40</v>
      </c>
      <c r="C17" s="12" t="s">
        <v>54</v>
      </c>
      <c r="D17" s="12" t="s">
        <v>41</v>
      </c>
      <c r="E17" s="18">
        <v>45667</v>
      </c>
      <c r="F17" s="18">
        <v>45667</v>
      </c>
      <c r="G17" s="18" t="s">
        <v>217</v>
      </c>
      <c r="H17" s="31" t="s">
        <v>57</v>
      </c>
      <c r="I17" s="12">
        <v>2</v>
      </c>
      <c r="J17" s="12" t="s">
        <v>42</v>
      </c>
      <c r="K17" s="12"/>
      <c r="L17" s="12" t="s">
        <v>110</v>
      </c>
      <c r="M17" s="16" t="s">
        <v>58</v>
      </c>
      <c r="N17" s="12" t="s">
        <v>111</v>
      </c>
      <c r="O17" s="12"/>
      <c r="P17" s="18">
        <v>45566</v>
      </c>
      <c r="Q17" s="19"/>
      <c r="R17" s="19">
        <v>698600</v>
      </c>
      <c r="S17" s="19">
        <v>698600</v>
      </c>
      <c r="T17" s="12" t="s">
        <v>60</v>
      </c>
      <c r="U17" s="12" t="s">
        <v>121</v>
      </c>
      <c r="V17" s="18">
        <v>45685</v>
      </c>
      <c r="W17" s="18"/>
      <c r="X17" s="19"/>
      <c r="Y17" s="19">
        <v>698600</v>
      </c>
      <c r="Z17" s="19">
        <v>698600</v>
      </c>
      <c r="AA17" s="12" t="s">
        <v>43</v>
      </c>
      <c r="AB17" s="12"/>
      <c r="AC17" s="12"/>
      <c r="AD17" s="12"/>
      <c r="AE17" s="12"/>
      <c r="AF17" s="12"/>
      <c r="AG17" s="12"/>
      <c r="AH17" s="26"/>
      <c r="AI17" s="12" t="s">
        <v>61</v>
      </c>
      <c r="AJ17" s="16" t="s">
        <v>131</v>
      </c>
      <c r="AK17" s="12" t="s">
        <v>58</v>
      </c>
      <c r="AL17" s="12"/>
      <c r="AM17" s="12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</row>
    <row r="18" spans="1:207" ht="15" customHeight="1" x14ac:dyDescent="0.25">
      <c r="A18" s="27"/>
      <c r="B18" s="12" t="s">
        <v>40</v>
      </c>
      <c r="C18" s="12" t="s">
        <v>40</v>
      </c>
      <c r="D18" s="12" t="s">
        <v>41</v>
      </c>
      <c r="E18" s="18">
        <v>45667</v>
      </c>
      <c r="F18" s="18">
        <v>45667</v>
      </c>
      <c r="G18" s="18" t="s">
        <v>217</v>
      </c>
      <c r="H18" s="31" t="s">
        <v>57</v>
      </c>
      <c r="I18" s="12">
        <v>2</v>
      </c>
      <c r="J18" s="12" t="s">
        <v>42</v>
      </c>
      <c r="K18" s="12"/>
      <c r="L18" s="16" t="s">
        <v>49</v>
      </c>
      <c r="M18" s="16" t="s">
        <v>58</v>
      </c>
      <c r="N18" s="12" t="s">
        <v>116</v>
      </c>
      <c r="O18" s="12"/>
      <c r="P18" s="18">
        <v>45566</v>
      </c>
      <c r="Q18" s="19"/>
      <c r="R18" s="19">
        <v>16640400</v>
      </c>
      <c r="S18" s="19">
        <v>16640400</v>
      </c>
      <c r="T18" s="12" t="s">
        <v>60</v>
      </c>
      <c r="U18" s="12" t="s">
        <v>122</v>
      </c>
      <c r="V18" s="18">
        <v>45685</v>
      </c>
      <c r="W18" s="18"/>
      <c r="X18" s="19"/>
      <c r="Y18" s="19">
        <v>16640400</v>
      </c>
      <c r="Z18" s="19">
        <v>16640400</v>
      </c>
      <c r="AA18" s="25" t="s">
        <v>43</v>
      </c>
      <c r="AB18" s="12"/>
      <c r="AC18" s="12"/>
      <c r="AD18" s="12"/>
      <c r="AE18" s="12"/>
      <c r="AF18" s="12"/>
      <c r="AG18" s="16"/>
      <c r="AH18" s="26"/>
      <c r="AI18" s="12" t="s">
        <v>61</v>
      </c>
      <c r="AJ18" s="16" t="s">
        <v>131</v>
      </c>
      <c r="AK18" s="12" t="s">
        <v>58</v>
      </c>
      <c r="AL18" s="12"/>
      <c r="AM18" s="12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</row>
    <row r="19" spans="1:207" ht="11.25" customHeight="1" x14ac:dyDescent="0.25">
      <c r="A19" s="25"/>
      <c r="B19" s="12" t="s">
        <v>40</v>
      </c>
      <c r="C19" s="12" t="s">
        <v>54</v>
      </c>
      <c r="D19" s="12" t="s">
        <v>41</v>
      </c>
      <c r="E19" s="18">
        <v>45667</v>
      </c>
      <c r="F19" s="18">
        <v>45667</v>
      </c>
      <c r="G19" s="18" t="s">
        <v>217</v>
      </c>
      <c r="H19" s="31" t="s">
        <v>57</v>
      </c>
      <c r="I19" s="12">
        <v>2</v>
      </c>
      <c r="J19" s="12" t="s">
        <v>42</v>
      </c>
      <c r="K19" s="12"/>
      <c r="L19" s="17" t="s">
        <v>50</v>
      </c>
      <c r="M19" s="16" t="s">
        <v>58</v>
      </c>
      <c r="N19" s="12" t="s">
        <v>59</v>
      </c>
      <c r="O19" s="12"/>
      <c r="P19" s="18">
        <v>45566</v>
      </c>
      <c r="Q19" s="19"/>
      <c r="R19" s="19">
        <v>51070056.920000002</v>
      </c>
      <c r="S19" s="19">
        <v>51070056.920000002</v>
      </c>
      <c r="T19" s="12" t="s">
        <v>60</v>
      </c>
      <c r="U19" s="12" t="s">
        <v>123</v>
      </c>
      <c r="V19" s="18">
        <v>45685</v>
      </c>
      <c r="W19" s="18"/>
      <c r="X19" s="19"/>
      <c r="Y19" s="19">
        <v>51070056.920000002</v>
      </c>
      <c r="Z19" s="19">
        <v>51070056.920000002</v>
      </c>
      <c r="AA19" s="25" t="s">
        <v>43</v>
      </c>
      <c r="AB19" s="12"/>
      <c r="AC19" s="12"/>
      <c r="AD19" s="12"/>
      <c r="AE19" s="12"/>
      <c r="AF19" s="12"/>
      <c r="AG19" s="16"/>
      <c r="AH19" s="26"/>
      <c r="AI19" s="12" t="s">
        <v>61</v>
      </c>
      <c r="AJ19" s="16" t="s">
        <v>131</v>
      </c>
      <c r="AK19" s="12" t="s">
        <v>58</v>
      </c>
      <c r="AL19" s="12"/>
      <c r="AM19" s="12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</row>
    <row r="20" spans="1:207" ht="11.25" customHeight="1" x14ac:dyDescent="0.25">
      <c r="A20" s="25"/>
      <c r="B20" s="12" t="s">
        <v>40</v>
      </c>
      <c r="C20" s="12" t="s">
        <v>40</v>
      </c>
      <c r="D20" s="12" t="s">
        <v>41</v>
      </c>
      <c r="E20" s="18">
        <v>45667</v>
      </c>
      <c r="F20" s="18">
        <v>45667</v>
      </c>
      <c r="G20" s="18" t="s">
        <v>217</v>
      </c>
      <c r="H20" s="31" t="s">
        <v>57</v>
      </c>
      <c r="I20" s="12">
        <v>2</v>
      </c>
      <c r="J20" s="12" t="s">
        <v>42</v>
      </c>
      <c r="K20" s="12"/>
      <c r="L20" s="16" t="s">
        <v>65</v>
      </c>
      <c r="M20" s="16" t="s">
        <v>58</v>
      </c>
      <c r="N20" s="12" t="s">
        <v>90</v>
      </c>
      <c r="O20" s="12"/>
      <c r="P20" s="18">
        <v>45566</v>
      </c>
      <c r="Q20" s="19"/>
      <c r="R20" s="19">
        <v>1659240</v>
      </c>
      <c r="S20" s="19">
        <v>1659240</v>
      </c>
      <c r="T20" s="12" t="s">
        <v>60</v>
      </c>
      <c r="U20" s="12" t="s">
        <v>124</v>
      </c>
      <c r="V20" s="18">
        <v>45685</v>
      </c>
      <c r="W20" s="18"/>
      <c r="X20" s="19"/>
      <c r="Y20" s="19">
        <v>1659240</v>
      </c>
      <c r="Z20" s="19">
        <v>1659240</v>
      </c>
      <c r="AA20" s="12" t="s">
        <v>43</v>
      </c>
      <c r="AB20" s="12"/>
      <c r="AC20" s="12"/>
      <c r="AD20" s="12"/>
      <c r="AE20" s="12"/>
      <c r="AF20" s="12"/>
      <c r="AG20" s="16"/>
      <c r="AH20" s="26"/>
      <c r="AI20" s="12" t="s">
        <v>61</v>
      </c>
      <c r="AJ20" s="16" t="s">
        <v>131</v>
      </c>
      <c r="AK20" s="12" t="s">
        <v>58</v>
      </c>
      <c r="AL20" s="12"/>
      <c r="AM20" s="12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</row>
    <row r="21" spans="1:207" ht="11.25" customHeight="1" x14ac:dyDescent="0.25">
      <c r="A21" s="25"/>
      <c r="B21" s="12" t="s">
        <v>40</v>
      </c>
      <c r="C21" s="12" t="s">
        <v>54</v>
      </c>
      <c r="D21" s="12" t="s">
        <v>41</v>
      </c>
      <c r="E21" s="18">
        <v>45667</v>
      </c>
      <c r="F21" s="18">
        <v>45667</v>
      </c>
      <c r="G21" s="18" t="s">
        <v>217</v>
      </c>
      <c r="H21" s="31" t="s">
        <v>57</v>
      </c>
      <c r="I21" s="12">
        <v>2</v>
      </c>
      <c r="J21" s="12" t="s">
        <v>42</v>
      </c>
      <c r="K21" s="12"/>
      <c r="L21" s="12" t="s">
        <v>62</v>
      </c>
      <c r="M21" s="16" t="s">
        <v>58</v>
      </c>
      <c r="N21" s="12" t="s">
        <v>108</v>
      </c>
      <c r="O21" s="12"/>
      <c r="P21" s="18">
        <v>45566</v>
      </c>
      <c r="Q21" s="19"/>
      <c r="R21" s="19">
        <v>9843500</v>
      </c>
      <c r="S21" s="19">
        <v>9843500</v>
      </c>
      <c r="T21" s="12" t="s">
        <v>60</v>
      </c>
      <c r="U21" s="12" t="s">
        <v>125</v>
      </c>
      <c r="V21" s="18">
        <v>45685</v>
      </c>
      <c r="W21" s="18"/>
      <c r="X21" s="19"/>
      <c r="Y21" s="19">
        <v>9843500</v>
      </c>
      <c r="Z21" s="19">
        <v>9843500</v>
      </c>
      <c r="AA21" s="12" t="s">
        <v>43</v>
      </c>
      <c r="AB21" s="12"/>
      <c r="AC21" s="12"/>
      <c r="AD21" s="12"/>
      <c r="AE21" s="12"/>
      <c r="AF21" s="12"/>
      <c r="AG21" s="12"/>
      <c r="AH21" s="26"/>
      <c r="AI21" s="12" t="s">
        <v>61</v>
      </c>
      <c r="AJ21" s="16" t="s">
        <v>131</v>
      </c>
      <c r="AK21" s="12" t="s">
        <v>58</v>
      </c>
      <c r="AL21" s="12"/>
      <c r="AM21" s="12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</row>
    <row r="22" spans="1:207" ht="11.25" customHeight="1" x14ac:dyDescent="0.25">
      <c r="A22" s="25"/>
      <c r="B22" s="12" t="s">
        <v>40</v>
      </c>
      <c r="C22" s="12" t="s">
        <v>40</v>
      </c>
      <c r="D22" s="12" t="s">
        <v>41</v>
      </c>
      <c r="E22" s="18">
        <v>45667</v>
      </c>
      <c r="F22" s="18">
        <v>45667</v>
      </c>
      <c r="G22" s="18" t="s">
        <v>217</v>
      </c>
      <c r="H22" s="31" t="s">
        <v>57</v>
      </c>
      <c r="I22" s="12">
        <v>2</v>
      </c>
      <c r="J22" s="12" t="s">
        <v>42</v>
      </c>
      <c r="K22" s="12"/>
      <c r="L22" s="17" t="s">
        <v>88</v>
      </c>
      <c r="M22" s="16" t="s">
        <v>58</v>
      </c>
      <c r="N22" s="12" t="s">
        <v>89</v>
      </c>
      <c r="O22" s="12"/>
      <c r="P22" s="18">
        <v>45566</v>
      </c>
      <c r="Q22" s="19"/>
      <c r="R22" s="19">
        <v>442800</v>
      </c>
      <c r="S22" s="19">
        <v>442800</v>
      </c>
      <c r="T22" s="12" t="s">
        <v>60</v>
      </c>
      <c r="U22" s="12" t="s">
        <v>129</v>
      </c>
      <c r="V22" s="18">
        <v>45685</v>
      </c>
      <c r="W22" s="18"/>
      <c r="X22" s="19"/>
      <c r="Y22" s="19">
        <v>442800</v>
      </c>
      <c r="Z22" s="19">
        <v>442800</v>
      </c>
      <c r="AA22" s="12" t="s">
        <v>43</v>
      </c>
      <c r="AB22" s="12"/>
      <c r="AC22" s="12"/>
      <c r="AD22" s="12"/>
      <c r="AE22" s="12"/>
      <c r="AF22" s="12"/>
      <c r="AG22" s="16"/>
      <c r="AH22" s="19"/>
      <c r="AI22" s="12" t="s">
        <v>61</v>
      </c>
      <c r="AJ22" s="16" t="s">
        <v>131</v>
      </c>
      <c r="AK22" s="12" t="s">
        <v>58</v>
      </c>
      <c r="AL22" s="12"/>
      <c r="AM22" s="12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</row>
    <row r="23" spans="1:207" ht="11.25" customHeight="1" x14ac:dyDescent="0.25">
      <c r="A23" s="25"/>
      <c r="B23" s="12" t="s">
        <v>40</v>
      </c>
      <c r="C23" s="12" t="s">
        <v>40</v>
      </c>
      <c r="D23" s="12" t="s">
        <v>41</v>
      </c>
      <c r="E23" s="18">
        <v>45667</v>
      </c>
      <c r="F23" s="18">
        <v>45667</v>
      </c>
      <c r="G23" s="18" t="s">
        <v>217</v>
      </c>
      <c r="H23" s="31" t="s">
        <v>57</v>
      </c>
      <c r="I23" s="12">
        <v>2</v>
      </c>
      <c r="J23" s="12" t="s">
        <v>42</v>
      </c>
      <c r="K23" s="12"/>
      <c r="L23" s="16" t="s">
        <v>49</v>
      </c>
      <c r="M23" s="16" t="s">
        <v>58</v>
      </c>
      <c r="N23" s="12" t="s">
        <v>81</v>
      </c>
      <c r="O23" s="12"/>
      <c r="P23" s="18">
        <v>45566</v>
      </c>
      <c r="Q23" s="19"/>
      <c r="R23" s="19">
        <v>950000</v>
      </c>
      <c r="S23" s="19">
        <v>950000</v>
      </c>
      <c r="T23" s="12" t="s">
        <v>60</v>
      </c>
      <c r="U23" s="12" t="s">
        <v>127</v>
      </c>
      <c r="V23" s="18">
        <v>45685</v>
      </c>
      <c r="W23" s="18"/>
      <c r="X23" s="19"/>
      <c r="Y23" s="19">
        <v>950000</v>
      </c>
      <c r="Z23" s="19">
        <v>950000</v>
      </c>
      <c r="AA23" s="25" t="s">
        <v>43</v>
      </c>
      <c r="AB23" s="12"/>
      <c r="AC23" s="12"/>
      <c r="AD23" s="12"/>
      <c r="AE23" s="12"/>
      <c r="AF23" s="12"/>
      <c r="AG23" s="16"/>
      <c r="AH23" s="26"/>
      <c r="AI23" s="12" t="s">
        <v>61</v>
      </c>
      <c r="AJ23" s="16" t="s">
        <v>131</v>
      </c>
      <c r="AK23" s="12" t="s">
        <v>58</v>
      </c>
      <c r="AL23" s="12"/>
      <c r="AM23" s="12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</row>
    <row r="24" spans="1:207" ht="11.25" customHeight="1" x14ac:dyDescent="0.25">
      <c r="A24" s="25"/>
      <c r="B24" s="12" t="s">
        <v>40</v>
      </c>
      <c r="C24" s="12" t="s">
        <v>40</v>
      </c>
      <c r="D24" s="12" t="s">
        <v>41</v>
      </c>
      <c r="E24" s="18">
        <v>45667</v>
      </c>
      <c r="F24" s="18">
        <v>45667</v>
      </c>
      <c r="G24" s="18" t="s">
        <v>217</v>
      </c>
      <c r="H24" s="31" t="s">
        <v>57</v>
      </c>
      <c r="I24" s="12">
        <v>2</v>
      </c>
      <c r="J24" s="12" t="s">
        <v>42</v>
      </c>
      <c r="K24" s="12"/>
      <c r="L24" s="17" t="s">
        <v>88</v>
      </c>
      <c r="M24" s="16" t="s">
        <v>58</v>
      </c>
      <c r="N24" s="12" t="s">
        <v>105</v>
      </c>
      <c r="O24" s="12"/>
      <c r="P24" s="18">
        <v>45566</v>
      </c>
      <c r="Q24" s="19"/>
      <c r="R24" s="19">
        <v>392000</v>
      </c>
      <c r="S24" s="19">
        <v>392000</v>
      </c>
      <c r="T24" s="12" t="s">
        <v>60</v>
      </c>
      <c r="U24" s="12" t="s">
        <v>129</v>
      </c>
      <c r="V24" s="18">
        <v>45685</v>
      </c>
      <c r="W24" s="18"/>
      <c r="X24" s="19"/>
      <c r="Y24" s="19">
        <v>392000</v>
      </c>
      <c r="Z24" s="19">
        <v>392000</v>
      </c>
      <c r="AA24" s="12" t="s">
        <v>43</v>
      </c>
      <c r="AB24" s="12"/>
      <c r="AC24" s="12"/>
      <c r="AD24" s="12"/>
      <c r="AE24" s="12"/>
      <c r="AF24" s="12"/>
      <c r="AG24" s="16"/>
      <c r="AH24" s="19"/>
      <c r="AI24" s="12" t="s">
        <v>61</v>
      </c>
      <c r="AJ24" s="16" t="s">
        <v>131</v>
      </c>
      <c r="AK24" s="12" t="s">
        <v>58</v>
      </c>
      <c r="AL24" s="12"/>
      <c r="AM24" s="12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</row>
    <row r="25" spans="1:207" ht="11.25" customHeight="1" x14ac:dyDescent="0.25">
      <c r="A25" s="25"/>
      <c r="B25" s="12" t="s">
        <v>40</v>
      </c>
      <c r="C25" s="12" t="s">
        <v>40</v>
      </c>
      <c r="D25" s="12" t="s">
        <v>41</v>
      </c>
      <c r="E25" s="18">
        <v>45667</v>
      </c>
      <c r="F25" s="18">
        <v>45667</v>
      </c>
      <c r="G25" s="18" t="s">
        <v>217</v>
      </c>
      <c r="H25" s="31" t="s">
        <v>57</v>
      </c>
      <c r="I25" s="12">
        <v>2</v>
      </c>
      <c r="J25" s="12" t="s">
        <v>42</v>
      </c>
      <c r="K25" s="12"/>
      <c r="L25" s="17" t="s">
        <v>88</v>
      </c>
      <c r="M25" s="16" t="s">
        <v>58</v>
      </c>
      <c r="N25" s="12" t="s">
        <v>118</v>
      </c>
      <c r="O25" s="12"/>
      <c r="P25" s="18">
        <v>45566</v>
      </c>
      <c r="Q25" s="19"/>
      <c r="R25" s="19">
        <v>887932.38</v>
      </c>
      <c r="S25" s="19">
        <v>887932.38</v>
      </c>
      <c r="T25" s="12" t="s">
        <v>60</v>
      </c>
      <c r="U25" s="12" t="s">
        <v>129</v>
      </c>
      <c r="V25" s="18">
        <v>45685</v>
      </c>
      <c r="W25" s="18"/>
      <c r="X25" s="19"/>
      <c r="Y25" s="19">
        <v>887932.38</v>
      </c>
      <c r="Z25" s="19">
        <v>887932.38</v>
      </c>
      <c r="AA25" s="12" t="s">
        <v>43</v>
      </c>
      <c r="AB25" s="12"/>
      <c r="AC25" s="12"/>
      <c r="AD25" s="12"/>
      <c r="AE25" s="12"/>
      <c r="AF25" s="12"/>
      <c r="AG25" s="16"/>
      <c r="AH25" s="19"/>
      <c r="AI25" s="12" t="s">
        <v>61</v>
      </c>
      <c r="AJ25" s="16" t="s">
        <v>131</v>
      </c>
      <c r="AK25" s="12" t="s">
        <v>58</v>
      </c>
      <c r="AL25" s="12"/>
      <c r="AM25" s="12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</row>
    <row r="26" spans="1:207" ht="11.25" customHeight="1" x14ac:dyDescent="0.25">
      <c r="A26" s="25"/>
      <c r="B26" s="12" t="s">
        <v>40</v>
      </c>
      <c r="C26" s="12" t="s">
        <v>54</v>
      </c>
      <c r="D26" s="12" t="s">
        <v>41</v>
      </c>
      <c r="E26" s="18">
        <v>45730</v>
      </c>
      <c r="F26" s="18">
        <v>45730</v>
      </c>
      <c r="G26" s="18" t="s">
        <v>217</v>
      </c>
      <c r="H26" s="31" t="s">
        <v>57</v>
      </c>
      <c r="I26" s="12">
        <v>2</v>
      </c>
      <c r="J26" s="12" t="s">
        <v>42</v>
      </c>
      <c r="K26" s="12"/>
      <c r="L26" s="16" t="s">
        <v>63</v>
      </c>
      <c r="M26" s="16" t="s">
        <v>58</v>
      </c>
      <c r="N26" s="12" t="s">
        <v>77</v>
      </c>
      <c r="O26" s="12"/>
      <c r="P26" s="18">
        <v>45597</v>
      </c>
      <c r="Q26" s="19"/>
      <c r="R26" s="19">
        <v>12002555.380000001</v>
      </c>
      <c r="S26" s="19">
        <v>12002555.380000001</v>
      </c>
      <c r="T26" s="12" t="s">
        <v>60</v>
      </c>
      <c r="U26" s="12" t="s">
        <v>136</v>
      </c>
      <c r="V26" s="18">
        <v>45734</v>
      </c>
      <c r="W26" s="18"/>
      <c r="X26" s="19"/>
      <c r="Y26" s="19">
        <v>12002555.380000001</v>
      </c>
      <c r="Z26" s="19">
        <v>12002555.380000001</v>
      </c>
      <c r="AA26" s="12" t="s">
        <v>43</v>
      </c>
      <c r="AB26" s="12"/>
      <c r="AC26" s="12"/>
      <c r="AD26" s="12"/>
      <c r="AE26" s="12"/>
      <c r="AF26" s="12"/>
      <c r="AG26" s="16"/>
      <c r="AH26" s="26"/>
      <c r="AI26" s="12" t="s">
        <v>61</v>
      </c>
      <c r="AJ26" s="16" t="s">
        <v>149</v>
      </c>
      <c r="AK26" s="12" t="s">
        <v>58</v>
      </c>
      <c r="AL26" s="12"/>
      <c r="AM26" s="12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</row>
    <row r="27" spans="1:207" ht="11.25" customHeight="1" x14ac:dyDescent="0.25">
      <c r="A27" s="25"/>
      <c r="B27" s="12" t="s">
        <v>40</v>
      </c>
      <c r="C27" s="12" t="s">
        <v>40</v>
      </c>
      <c r="D27" s="12" t="s">
        <v>41</v>
      </c>
      <c r="E27" s="18">
        <v>45730</v>
      </c>
      <c r="F27" s="18">
        <v>45730</v>
      </c>
      <c r="G27" s="18" t="s">
        <v>217</v>
      </c>
      <c r="H27" s="31" t="s">
        <v>57</v>
      </c>
      <c r="I27" s="12">
        <v>2</v>
      </c>
      <c r="J27" s="12" t="s">
        <v>42</v>
      </c>
      <c r="K27" s="12"/>
      <c r="L27" s="17" t="s">
        <v>86</v>
      </c>
      <c r="M27" s="16" t="s">
        <v>58</v>
      </c>
      <c r="N27" s="12" t="s">
        <v>87</v>
      </c>
      <c r="O27" s="12"/>
      <c r="P27" s="18">
        <v>45597</v>
      </c>
      <c r="Q27" s="19"/>
      <c r="R27" s="19">
        <v>3518057.74</v>
      </c>
      <c r="S27" s="19">
        <v>3518057.74</v>
      </c>
      <c r="T27" s="12" t="s">
        <v>60</v>
      </c>
      <c r="U27" s="12" t="s">
        <v>137</v>
      </c>
      <c r="V27" s="18">
        <v>45734</v>
      </c>
      <c r="W27" s="18"/>
      <c r="X27" s="19"/>
      <c r="Y27" s="19">
        <v>3518057.74</v>
      </c>
      <c r="Z27" s="19">
        <v>3518057.74</v>
      </c>
      <c r="AA27" s="25" t="s">
        <v>43</v>
      </c>
      <c r="AB27" s="12"/>
      <c r="AC27" s="12"/>
      <c r="AD27" s="12"/>
      <c r="AE27" s="12"/>
      <c r="AF27" s="12"/>
      <c r="AG27" s="16"/>
      <c r="AH27" s="26"/>
      <c r="AI27" s="12" t="s">
        <v>61</v>
      </c>
      <c r="AJ27" s="16" t="s">
        <v>149</v>
      </c>
      <c r="AK27" s="12" t="s">
        <v>58</v>
      </c>
      <c r="AL27" s="12"/>
      <c r="AM27" s="12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</row>
    <row r="28" spans="1:207" ht="15" customHeight="1" x14ac:dyDescent="0.25">
      <c r="A28" s="27"/>
      <c r="B28" s="12" t="s">
        <v>40</v>
      </c>
      <c r="C28" s="12" t="s">
        <v>40</v>
      </c>
      <c r="D28" s="12" t="s">
        <v>41</v>
      </c>
      <c r="E28" s="18">
        <v>45730</v>
      </c>
      <c r="F28" s="18">
        <v>45730</v>
      </c>
      <c r="G28" s="18" t="s">
        <v>217</v>
      </c>
      <c r="H28" s="31" t="s">
        <v>57</v>
      </c>
      <c r="I28" s="12">
        <v>2</v>
      </c>
      <c r="J28" s="12" t="s">
        <v>42</v>
      </c>
      <c r="K28" s="12"/>
      <c r="L28" s="17" t="s">
        <v>85</v>
      </c>
      <c r="M28" s="16" t="s">
        <v>58</v>
      </c>
      <c r="N28" s="12" t="s">
        <v>91</v>
      </c>
      <c r="O28" s="12"/>
      <c r="P28" s="18">
        <v>45597</v>
      </c>
      <c r="Q28" s="19"/>
      <c r="R28" s="19">
        <v>8433700</v>
      </c>
      <c r="S28" s="19">
        <v>8433700</v>
      </c>
      <c r="T28" s="12" t="s">
        <v>60</v>
      </c>
      <c r="U28" s="12" t="s">
        <v>138</v>
      </c>
      <c r="V28" s="18">
        <v>45734</v>
      </c>
      <c r="W28" s="18"/>
      <c r="X28" s="19"/>
      <c r="Y28" s="19">
        <v>8433700</v>
      </c>
      <c r="Z28" s="19">
        <v>8433700</v>
      </c>
      <c r="AA28" s="25" t="s">
        <v>43</v>
      </c>
      <c r="AB28" s="12"/>
      <c r="AC28" s="12"/>
      <c r="AD28" s="12"/>
      <c r="AE28" s="12"/>
      <c r="AF28" s="12"/>
      <c r="AG28" s="16"/>
      <c r="AH28" s="26"/>
      <c r="AI28" s="12" t="s">
        <v>61</v>
      </c>
      <c r="AJ28" s="16" t="s">
        <v>149</v>
      </c>
      <c r="AK28" s="12" t="s">
        <v>58</v>
      </c>
      <c r="AL28" s="12"/>
      <c r="AM28" s="12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</row>
    <row r="29" spans="1:207" ht="11.25" customHeight="1" x14ac:dyDescent="0.25">
      <c r="A29" s="25"/>
      <c r="B29" s="12" t="s">
        <v>40</v>
      </c>
      <c r="C29" s="12" t="s">
        <v>40</v>
      </c>
      <c r="D29" s="12" t="s">
        <v>41</v>
      </c>
      <c r="E29" s="18">
        <v>45730</v>
      </c>
      <c r="F29" s="18">
        <v>45730</v>
      </c>
      <c r="G29" s="18" t="s">
        <v>217</v>
      </c>
      <c r="H29" s="31" t="s">
        <v>57</v>
      </c>
      <c r="I29" s="12">
        <v>2</v>
      </c>
      <c r="J29" s="12" t="s">
        <v>42</v>
      </c>
      <c r="K29" s="12"/>
      <c r="L29" s="16" t="s">
        <v>49</v>
      </c>
      <c r="M29" s="16" t="s">
        <v>58</v>
      </c>
      <c r="N29" s="12" t="s">
        <v>76</v>
      </c>
      <c r="O29" s="12"/>
      <c r="P29" s="18">
        <v>45597</v>
      </c>
      <c r="Q29" s="19"/>
      <c r="R29" s="19">
        <v>470000</v>
      </c>
      <c r="S29" s="19">
        <v>470000</v>
      </c>
      <c r="T29" s="12" t="s">
        <v>60</v>
      </c>
      <c r="U29" s="12" t="s">
        <v>139</v>
      </c>
      <c r="V29" s="18">
        <v>45734</v>
      </c>
      <c r="W29" s="18"/>
      <c r="X29" s="19"/>
      <c r="Y29" s="19">
        <v>470000</v>
      </c>
      <c r="Z29" s="19">
        <v>470000</v>
      </c>
      <c r="AA29" s="25" t="s">
        <v>43</v>
      </c>
      <c r="AB29" s="12"/>
      <c r="AC29" s="12"/>
      <c r="AD29" s="12"/>
      <c r="AE29" s="12"/>
      <c r="AF29" s="12"/>
      <c r="AG29" s="16"/>
      <c r="AH29" s="26"/>
      <c r="AI29" s="12" t="s">
        <v>61</v>
      </c>
      <c r="AJ29" s="16" t="s">
        <v>149</v>
      </c>
      <c r="AK29" s="12" t="s">
        <v>58</v>
      </c>
      <c r="AL29" s="12"/>
      <c r="AM29" s="12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</row>
    <row r="30" spans="1:207" ht="15" customHeight="1" x14ac:dyDescent="0.25">
      <c r="A30" s="27"/>
      <c r="B30" s="12" t="s">
        <v>40</v>
      </c>
      <c r="C30" s="12" t="s">
        <v>40</v>
      </c>
      <c r="D30" s="12" t="s">
        <v>41</v>
      </c>
      <c r="E30" s="18">
        <v>45730</v>
      </c>
      <c r="F30" s="18">
        <v>45730</v>
      </c>
      <c r="G30" s="18" t="s">
        <v>217</v>
      </c>
      <c r="H30" s="31" t="s">
        <v>57</v>
      </c>
      <c r="I30" s="12">
        <v>2</v>
      </c>
      <c r="J30" s="12" t="s">
        <v>42</v>
      </c>
      <c r="K30" s="12"/>
      <c r="L30" s="16" t="s">
        <v>49</v>
      </c>
      <c r="M30" s="16" t="s">
        <v>58</v>
      </c>
      <c r="N30" s="12" t="s">
        <v>116</v>
      </c>
      <c r="O30" s="12"/>
      <c r="P30" s="18">
        <v>45597</v>
      </c>
      <c r="Q30" s="19"/>
      <c r="R30" s="19">
        <v>12827200</v>
      </c>
      <c r="S30" s="19">
        <v>12827200</v>
      </c>
      <c r="T30" s="12" t="s">
        <v>60</v>
      </c>
      <c r="U30" s="12" t="s">
        <v>140</v>
      </c>
      <c r="V30" s="18">
        <v>45734</v>
      </c>
      <c r="W30" s="18"/>
      <c r="X30" s="19"/>
      <c r="Y30" s="19">
        <v>12827200</v>
      </c>
      <c r="Z30" s="19">
        <v>12827200</v>
      </c>
      <c r="AA30" s="25" t="s">
        <v>43</v>
      </c>
      <c r="AB30" s="12"/>
      <c r="AC30" s="12"/>
      <c r="AD30" s="12"/>
      <c r="AE30" s="12"/>
      <c r="AF30" s="12"/>
      <c r="AG30" s="16"/>
      <c r="AH30" s="26"/>
      <c r="AI30" s="12" t="s">
        <v>61</v>
      </c>
      <c r="AJ30" s="16" t="s">
        <v>149</v>
      </c>
      <c r="AK30" s="12" t="s">
        <v>58</v>
      </c>
      <c r="AL30" s="12"/>
      <c r="AM30" s="12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</row>
    <row r="31" spans="1:207" ht="11.25" customHeight="1" x14ac:dyDescent="0.25">
      <c r="A31" s="25"/>
      <c r="B31" s="12" t="s">
        <v>40</v>
      </c>
      <c r="C31" s="12" t="s">
        <v>54</v>
      </c>
      <c r="D31" s="12" t="s">
        <v>41</v>
      </c>
      <c r="E31" s="18">
        <v>45730</v>
      </c>
      <c r="F31" s="18">
        <v>45730</v>
      </c>
      <c r="G31" s="18" t="s">
        <v>217</v>
      </c>
      <c r="H31" s="31" t="s">
        <v>57</v>
      </c>
      <c r="I31" s="12">
        <v>2</v>
      </c>
      <c r="J31" s="12" t="s">
        <v>42</v>
      </c>
      <c r="K31" s="12"/>
      <c r="L31" s="17" t="s">
        <v>50</v>
      </c>
      <c r="M31" s="16" t="s">
        <v>58</v>
      </c>
      <c r="N31" s="12" t="s">
        <v>59</v>
      </c>
      <c r="O31" s="12"/>
      <c r="P31" s="18">
        <v>45597</v>
      </c>
      <c r="Q31" s="19"/>
      <c r="R31" s="19">
        <v>77172569.25</v>
      </c>
      <c r="S31" s="19">
        <v>77172569.25</v>
      </c>
      <c r="T31" s="12" t="s">
        <v>60</v>
      </c>
      <c r="U31" s="12" t="s">
        <v>141</v>
      </c>
      <c r="V31" s="18">
        <v>45734</v>
      </c>
      <c r="W31" s="18"/>
      <c r="X31" s="19"/>
      <c r="Y31" s="19">
        <v>77172569.25</v>
      </c>
      <c r="Z31" s="19">
        <v>77172569.25</v>
      </c>
      <c r="AA31" s="25" t="s">
        <v>43</v>
      </c>
      <c r="AB31" s="12"/>
      <c r="AC31" s="12"/>
      <c r="AD31" s="12"/>
      <c r="AE31" s="12"/>
      <c r="AF31" s="12"/>
      <c r="AG31" s="16"/>
      <c r="AH31" s="26"/>
      <c r="AI31" s="12" t="s">
        <v>61</v>
      </c>
      <c r="AJ31" s="16" t="s">
        <v>149</v>
      </c>
      <c r="AK31" s="12" t="s">
        <v>58</v>
      </c>
      <c r="AL31" s="12"/>
      <c r="AM31" s="12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</row>
    <row r="32" spans="1:207" ht="11.25" customHeight="1" x14ac:dyDescent="0.25">
      <c r="A32" s="25"/>
      <c r="B32" s="12" t="s">
        <v>40</v>
      </c>
      <c r="C32" s="12" t="s">
        <v>40</v>
      </c>
      <c r="D32" s="12" t="s">
        <v>41</v>
      </c>
      <c r="E32" s="18">
        <v>45730</v>
      </c>
      <c r="F32" s="18">
        <v>45730</v>
      </c>
      <c r="G32" s="18" t="s">
        <v>217</v>
      </c>
      <c r="H32" s="31" t="s">
        <v>57</v>
      </c>
      <c r="I32" s="12">
        <v>2</v>
      </c>
      <c r="J32" s="12" t="s">
        <v>42</v>
      </c>
      <c r="K32" s="12"/>
      <c r="L32" s="16" t="s">
        <v>64</v>
      </c>
      <c r="M32" s="16" t="s">
        <v>58</v>
      </c>
      <c r="N32" s="12" t="s">
        <v>93</v>
      </c>
      <c r="O32" s="12"/>
      <c r="P32" s="18">
        <v>45597</v>
      </c>
      <c r="Q32" s="19"/>
      <c r="R32" s="19">
        <v>283500</v>
      </c>
      <c r="S32" s="19">
        <v>283500</v>
      </c>
      <c r="T32" s="12" t="s">
        <v>60</v>
      </c>
      <c r="U32" s="12" t="s">
        <v>142</v>
      </c>
      <c r="V32" s="18">
        <v>45734</v>
      </c>
      <c r="W32" s="18"/>
      <c r="X32" s="19"/>
      <c r="Y32" s="19">
        <v>283500</v>
      </c>
      <c r="Z32" s="19">
        <v>283500</v>
      </c>
      <c r="AA32" s="12" t="s">
        <v>43</v>
      </c>
      <c r="AB32" s="12"/>
      <c r="AC32" s="12"/>
      <c r="AD32" s="12"/>
      <c r="AE32" s="12"/>
      <c r="AF32" s="12"/>
      <c r="AG32" s="16"/>
      <c r="AH32" s="19"/>
      <c r="AI32" s="12" t="s">
        <v>61</v>
      </c>
      <c r="AJ32" s="16" t="s">
        <v>149</v>
      </c>
      <c r="AK32" s="12" t="s">
        <v>58</v>
      </c>
      <c r="AL32" s="12"/>
      <c r="AM32" s="12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</row>
    <row r="33" spans="1:207" ht="11.25" customHeight="1" x14ac:dyDescent="0.25">
      <c r="A33" s="25"/>
      <c r="B33" s="12" t="s">
        <v>40</v>
      </c>
      <c r="C33" s="12" t="s">
        <v>54</v>
      </c>
      <c r="D33" s="12" t="s">
        <v>41</v>
      </c>
      <c r="E33" s="18">
        <v>45730</v>
      </c>
      <c r="F33" s="18">
        <v>45730</v>
      </c>
      <c r="G33" s="18" t="s">
        <v>217</v>
      </c>
      <c r="H33" s="31" t="s">
        <v>57</v>
      </c>
      <c r="I33" s="12">
        <v>2</v>
      </c>
      <c r="J33" s="12" t="s">
        <v>42</v>
      </c>
      <c r="K33" s="12"/>
      <c r="L33" s="12" t="s">
        <v>62</v>
      </c>
      <c r="M33" s="16" t="s">
        <v>58</v>
      </c>
      <c r="N33" s="12" t="s">
        <v>108</v>
      </c>
      <c r="O33" s="12"/>
      <c r="P33" s="18">
        <v>45597</v>
      </c>
      <c r="Q33" s="19"/>
      <c r="R33" s="19">
        <v>18371451.960000001</v>
      </c>
      <c r="S33" s="19">
        <v>18371451.960000001</v>
      </c>
      <c r="T33" s="12" t="s">
        <v>60</v>
      </c>
      <c r="U33" s="12" t="s">
        <v>143</v>
      </c>
      <c r="V33" s="18">
        <v>45734</v>
      </c>
      <c r="W33" s="18"/>
      <c r="X33" s="19"/>
      <c r="Y33" s="19">
        <v>18371451.960000001</v>
      </c>
      <c r="Z33" s="19">
        <v>18371451.960000001</v>
      </c>
      <c r="AA33" s="12" t="s">
        <v>43</v>
      </c>
      <c r="AB33" s="12"/>
      <c r="AC33" s="12"/>
      <c r="AD33" s="12"/>
      <c r="AE33" s="12"/>
      <c r="AF33" s="12"/>
      <c r="AG33" s="12"/>
      <c r="AH33" s="26"/>
      <c r="AI33" s="12" t="s">
        <v>61</v>
      </c>
      <c r="AJ33" s="16" t="s">
        <v>149</v>
      </c>
      <c r="AK33" s="12" t="s">
        <v>58</v>
      </c>
      <c r="AL33" s="12"/>
      <c r="AM33" s="12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</row>
    <row r="34" spans="1:207" ht="11.25" customHeight="1" x14ac:dyDescent="0.25">
      <c r="A34" s="25"/>
      <c r="B34" s="12" t="s">
        <v>40</v>
      </c>
      <c r="C34" s="12" t="s">
        <v>40</v>
      </c>
      <c r="D34" s="12" t="s">
        <v>41</v>
      </c>
      <c r="E34" s="18">
        <v>45730</v>
      </c>
      <c r="F34" s="18">
        <v>45730</v>
      </c>
      <c r="G34" s="18" t="s">
        <v>217</v>
      </c>
      <c r="H34" s="31" t="s">
        <v>57</v>
      </c>
      <c r="I34" s="12">
        <v>2</v>
      </c>
      <c r="J34" s="12" t="s">
        <v>42</v>
      </c>
      <c r="K34" s="12"/>
      <c r="L34" s="17" t="s">
        <v>88</v>
      </c>
      <c r="M34" s="16" t="s">
        <v>58</v>
      </c>
      <c r="N34" s="12" t="s">
        <v>89</v>
      </c>
      <c r="O34" s="12"/>
      <c r="P34" s="18">
        <v>45597</v>
      </c>
      <c r="Q34" s="19"/>
      <c r="R34" s="19">
        <v>795798.6</v>
      </c>
      <c r="S34" s="19">
        <v>795798.6</v>
      </c>
      <c r="T34" s="12" t="s">
        <v>60</v>
      </c>
      <c r="U34" s="12" t="s">
        <v>144</v>
      </c>
      <c r="V34" s="18">
        <v>45734</v>
      </c>
      <c r="W34" s="18"/>
      <c r="X34" s="19"/>
      <c r="Y34" s="19">
        <v>795798.6</v>
      </c>
      <c r="Z34" s="19">
        <v>795798.6</v>
      </c>
      <c r="AA34" s="12" t="s">
        <v>43</v>
      </c>
      <c r="AB34" s="12"/>
      <c r="AC34" s="12"/>
      <c r="AD34" s="12"/>
      <c r="AE34" s="12"/>
      <c r="AF34" s="12"/>
      <c r="AG34" s="16"/>
      <c r="AH34" s="19"/>
      <c r="AI34" s="12" t="s">
        <v>61</v>
      </c>
      <c r="AJ34" s="16" t="s">
        <v>149</v>
      </c>
      <c r="AK34" s="12" t="s">
        <v>58</v>
      </c>
      <c r="AL34" s="12"/>
      <c r="AM34" s="12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</row>
    <row r="35" spans="1:207" ht="15" customHeight="1" x14ac:dyDescent="0.25">
      <c r="A35" s="27"/>
      <c r="B35" s="12" t="s">
        <v>40</v>
      </c>
      <c r="C35" s="12" t="s">
        <v>54</v>
      </c>
      <c r="D35" s="12" t="s">
        <v>41</v>
      </c>
      <c r="E35" s="18">
        <v>45730</v>
      </c>
      <c r="F35" s="18">
        <v>45730</v>
      </c>
      <c r="G35" s="18" t="s">
        <v>217</v>
      </c>
      <c r="H35" s="31" t="s">
        <v>57</v>
      </c>
      <c r="I35" s="12">
        <v>2</v>
      </c>
      <c r="J35" s="12" t="s">
        <v>42</v>
      </c>
      <c r="K35" s="12"/>
      <c r="L35" s="12" t="s">
        <v>135</v>
      </c>
      <c r="M35" s="16" t="s">
        <v>58</v>
      </c>
      <c r="N35" s="12" t="s">
        <v>107</v>
      </c>
      <c r="O35" s="12"/>
      <c r="P35" s="18">
        <v>45597</v>
      </c>
      <c r="Q35" s="19"/>
      <c r="R35" s="19">
        <v>1470000</v>
      </c>
      <c r="S35" s="19">
        <v>1470000</v>
      </c>
      <c r="T35" s="12" t="s">
        <v>60</v>
      </c>
      <c r="U35" s="12" t="s">
        <v>145</v>
      </c>
      <c r="V35" s="18">
        <v>45734</v>
      </c>
      <c r="W35" s="18"/>
      <c r="X35" s="19"/>
      <c r="Y35" s="19">
        <v>1470000</v>
      </c>
      <c r="Z35" s="19">
        <v>1470000</v>
      </c>
      <c r="AA35" s="12" t="s">
        <v>43</v>
      </c>
      <c r="AB35" s="12"/>
      <c r="AC35" s="12"/>
      <c r="AD35" s="12"/>
      <c r="AE35" s="12"/>
      <c r="AF35" s="12"/>
      <c r="AG35" s="12"/>
      <c r="AH35" s="26"/>
      <c r="AI35" s="12" t="s">
        <v>61</v>
      </c>
      <c r="AJ35" s="16" t="s">
        <v>149</v>
      </c>
      <c r="AK35" s="12" t="s">
        <v>58</v>
      </c>
      <c r="AL35" s="12"/>
      <c r="AM35" s="12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</row>
    <row r="36" spans="1:207" ht="11.25" customHeight="1" x14ac:dyDescent="0.25">
      <c r="A36" s="25"/>
      <c r="B36" s="12" t="s">
        <v>40</v>
      </c>
      <c r="C36" s="12" t="s">
        <v>40</v>
      </c>
      <c r="D36" s="12" t="s">
        <v>41</v>
      </c>
      <c r="E36" s="18">
        <v>45730</v>
      </c>
      <c r="F36" s="18">
        <v>45730</v>
      </c>
      <c r="G36" s="18" t="s">
        <v>217</v>
      </c>
      <c r="H36" s="31" t="s">
        <v>57</v>
      </c>
      <c r="I36" s="12">
        <v>2</v>
      </c>
      <c r="J36" s="12" t="s">
        <v>42</v>
      </c>
      <c r="K36" s="12"/>
      <c r="L36" s="17" t="s">
        <v>88</v>
      </c>
      <c r="M36" s="16" t="s">
        <v>58</v>
      </c>
      <c r="N36" s="12" t="s">
        <v>105</v>
      </c>
      <c r="O36" s="12"/>
      <c r="P36" s="18">
        <v>45597</v>
      </c>
      <c r="Q36" s="19"/>
      <c r="R36" s="19">
        <v>616000</v>
      </c>
      <c r="S36" s="19">
        <v>616000</v>
      </c>
      <c r="T36" s="12" t="s">
        <v>60</v>
      </c>
      <c r="U36" s="12" t="s">
        <v>146</v>
      </c>
      <c r="V36" s="18">
        <v>45734</v>
      </c>
      <c r="W36" s="18"/>
      <c r="X36" s="19"/>
      <c r="Y36" s="19">
        <v>616000</v>
      </c>
      <c r="Z36" s="19">
        <v>616000</v>
      </c>
      <c r="AA36" s="12" t="s">
        <v>43</v>
      </c>
      <c r="AB36" s="12"/>
      <c r="AC36" s="12"/>
      <c r="AD36" s="12"/>
      <c r="AE36" s="12"/>
      <c r="AF36" s="12"/>
      <c r="AG36" s="16"/>
      <c r="AH36" s="19"/>
      <c r="AI36" s="12" t="s">
        <v>61</v>
      </c>
      <c r="AJ36" s="16" t="s">
        <v>149</v>
      </c>
      <c r="AK36" s="12" t="s">
        <v>58</v>
      </c>
      <c r="AL36" s="12"/>
      <c r="AM36" s="12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</row>
    <row r="37" spans="1:207" ht="11.25" customHeight="1" x14ac:dyDescent="0.25">
      <c r="A37" s="25"/>
      <c r="B37" s="12" t="s">
        <v>40</v>
      </c>
      <c r="C37" s="12" t="s">
        <v>40</v>
      </c>
      <c r="D37" s="12" t="s">
        <v>41</v>
      </c>
      <c r="E37" s="18">
        <v>45730</v>
      </c>
      <c r="F37" s="18">
        <v>45730</v>
      </c>
      <c r="G37" s="18" t="s">
        <v>217</v>
      </c>
      <c r="H37" s="31" t="s">
        <v>57</v>
      </c>
      <c r="I37" s="12">
        <v>2</v>
      </c>
      <c r="J37" s="12" t="s">
        <v>42</v>
      </c>
      <c r="K37" s="12"/>
      <c r="L37" s="17" t="s">
        <v>88</v>
      </c>
      <c r="M37" s="16" t="s">
        <v>58</v>
      </c>
      <c r="N37" s="12" t="s">
        <v>118</v>
      </c>
      <c r="O37" s="12"/>
      <c r="P37" s="18">
        <v>45597</v>
      </c>
      <c r="Q37" s="19"/>
      <c r="R37" s="19">
        <v>1654600</v>
      </c>
      <c r="S37" s="19">
        <v>1654600</v>
      </c>
      <c r="T37" s="12" t="s">
        <v>60</v>
      </c>
      <c r="U37" s="12" t="s">
        <v>147</v>
      </c>
      <c r="V37" s="18">
        <v>45734</v>
      </c>
      <c r="W37" s="18"/>
      <c r="X37" s="19"/>
      <c r="Y37" s="19">
        <v>1654600</v>
      </c>
      <c r="Z37" s="19">
        <v>1654600</v>
      </c>
      <c r="AA37" s="12" t="s">
        <v>43</v>
      </c>
      <c r="AB37" s="12"/>
      <c r="AC37" s="12"/>
      <c r="AD37" s="12"/>
      <c r="AE37" s="12"/>
      <c r="AF37" s="12"/>
      <c r="AG37" s="16"/>
      <c r="AH37" s="19"/>
      <c r="AI37" s="12" t="s">
        <v>61</v>
      </c>
      <c r="AJ37" s="16" t="s">
        <v>149</v>
      </c>
      <c r="AK37" s="12" t="s">
        <v>58</v>
      </c>
      <c r="AL37" s="12"/>
      <c r="AM37" s="12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</row>
    <row r="38" spans="1:207" ht="11.25" customHeight="1" x14ac:dyDescent="0.25">
      <c r="A38" s="25"/>
      <c r="B38" s="12" t="s">
        <v>41</v>
      </c>
      <c r="C38" s="12" t="s">
        <v>41</v>
      </c>
      <c r="D38" s="12" t="s">
        <v>41</v>
      </c>
      <c r="E38" s="18">
        <v>45730</v>
      </c>
      <c r="F38" s="18">
        <v>45730</v>
      </c>
      <c r="G38" s="18" t="s">
        <v>217</v>
      </c>
      <c r="H38" s="31" t="s">
        <v>57</v>
      </c>
      <c r="I38" s="12">
        <v>2</v>
      </c>
      <c r="J38" s="12" t="s">
        <v>42</v>
      </c>
      <c r="K38" s="12"/>
      <c r="L38" s="16" t="s">
        <v>73</v>
      </c>
      <c r="M38" s="16" t="s">
        <v>58</v>
      </c>
      <c r="N38" s="12" t="s">
        <v>117</v>
      </c>
      <c r="O38" s="12"/>
      <c r="P38" s="18">
        <v>45597</v>
      </c>
      <c r="Q38" s="19"/>
      <c r="R38" s="19">
        <v>2656200</v>
      </c>
      <c r="S38" s="19">
        <v>2656200</v>
      </c>
      <c r="T38" s="12" t="s">
        <v>60</v>
      </c>
      <c r="U38" s="12" t="s">
        <v>148</v>
      </c>
      <c r="V38" s="18">
        <v>45734</v>
      </c>
      <c r="W38" s="18"/>
      <c r="X38" s="19"/>
      <c r="Y38" s="19">
        <v>2656200</v>
      </c>
      <c r="Z38" s="19">
        <v>2656200</v>
      </c>
      <c r="AA38" s="12" t="s">
        <v>43</v>
      </c>
      <c r="AB38" s="12"/>
      <c r="AC38" s="12"/>
      <c r="AD38" s="12"/>
      <c r="AE38" s="12"/>
      <c r="AF38" s="12"/>
      <c r="AG38" s="12"/>
      <c r="AH38" s="26"/>
      <c r="AI38" s="12" t="s">
        <v>61</v>
      </c>
      <c r="AJ38" s="16" t="s">
        <v>149</v>
      </c>
      <c r="AK38" s="12" t="s">
        <v>58</v>
      </c>
      <c r="AL38" s="12"/>
      <c r="AM38" s="12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</row>
    <row r="39" spans="1:207" ht="11.25" customHeight="1" x14ac:dyDescent="0.25">
      <c r="A39" s="25"/>
      <c r="B39" s="12" t="s">
        <v>40</v>
      </c>
      <c r="C39" s="12" t="s">
        <v>54</v>
      </c>
      <c r="D39" s="12" t="s">
        <v>41</v>
      </c>
      <c r="E39" s="18">
        <v>45748</v>
      </c>
      <c r="F39" s="18">
        <v>45748</v>
      </c>
      <c r="G39" s="18" t="s">
        <v>217</v>
      </c>
      <c r="H39" s="31" t="s">
        <v>57</v>
      </c>
      <c r="I39" s="12">
        <v>2</v>
      </c>
      <c r="J39" s="12" t="s">
        <v>42</v>
      </c>
      <c r="K39" s="12"/>
      <c r="L39" s="16" t="s">
        <v>63</v>
      </c>
      <c r="M39" s="16" t="s">
        <v>58</v>
      </c>
      <c r="N39" s="12" t="s">
        <v>77</v>
      </c>
      <c r="O39" s="12"/>
      <c r="P39" s="18">
        <v>45627</v>
      </c>
      <c r="Q39" s="19"/>
      <c r="R39" s="19">
        <v>7274000</v>
      </c>
      <c r="S39" s="19">
        <v>7274000</v>
      </c>
      <c r="T39" s="12" t="s">
        <v>60</v>
      </c>
      <c r="U39" s="12" t="s">
        <v>157</v>
      </c>
      <c r="V39" s="18">
        <v>45758</v>
      </c>
      <c r="W39" s="18"/>
      <c r="X39" s="19"/>
      <c r="Y39" s="19">
        <v>7274000</v>
      </c>
      <c r="Z39" s="19">
        <v>7274000</v>
      </c>
      <c r="AA39" s="12" t="s">
        <v>43</v>
      </c>
      <c r="AB39" s="12"/>
      <c r="AC39" s="12"/>
      <c r="AD39" s="12"/>
      <c r="AE39" s="12"/>
      <c r="AF39" s="12"/>
      <c r="AG39" s="16"/>
      <c r="AH39" s="26"/>
      <c r="AI39" s="12" t="s">
        <v>61</v>
      </c>
      <c r="AJ39" s="16" t="s">
        <v>170</v>
      </c>
      <c r="AK39" s="12" t="s">
        <v>58</v>
      </c>
      <c r="AL39" s="12"/>
      <c r="AM39" s="12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</row>
    <row r="40" spans="1:207" ht="11.25" customHeight="1" x14ac:dyDescent="0.25">
      <c r="A40" s="25"/>
      <c r="B40" s="12" t="s">
        <v>40</v>
      </c>
      <c r="C40" s="12" t="s">
        <v>40</v>
      </c>
      <c r="D40" s="12" t="s">
        <v>41</v>
      </c>
      <c r="E40" s="18">
        <v>45748</v>
      </c>
      <c r="F40" s="18">
        <v>45748</v>
      </c>
      <c r="G40" s="18" t="s">
        <v>217</v>
      </c>
      <c r="H40" s="31" t="s">
        <v>57</v>
      </c>
      <c r="I40" s="12">
        <v>2</v>
      </c>
      <c r="J40" s="12" t="s">
        <v>42</v>
      </c>
      <c r="K40" s="12"/>
      <c r="L40" s="17" t="s">
        <v>86</v>
      </c>
      <c r="M40" s="16" t="s">
        <v>58</v>
      </c>
      <c r="N40" s="12" t="s">
        <v>87</v>
      </c>
      <c r="O40" s="12"/>
      <c r="P40" s="18">
        <v>45627</v>
      </c>
      <c r="Q40" s="19"/>
      <c r="R40" s="19">
        <v>2810210.15</v>
      </c>
      <c r="S40" s="19">
        <v>2810210.15</v>
      </c>
      <c r="T40" s="12" t="s">
        <v>60</v>
      </c>
      <c r="U40" s="12" t="s">
        <v>158</v>
      </c>
      <c r="V40" s="18">
        <v>45758</v>
      </c>
      <c r="W40" s="18"/>
      <c r="X40" s="19"/>
      <c r="Y40" s="19">
        <v>2810210.15</v>
      </c>
      <c r="Z40" s="19">
        <v>2810210.15</v>
      </c>
      <c r="AA40" s="25" t="s">
        <v>43</v>
      </c>
      <c r="AB40" s="12"/>
      <c r="AC40" s="12"/>
      <c r="AD40" s="12"/>
      <c r="AE40" s="12"/>
      <c r="AF40" s="12"/>
      <c r="AG40" s="16"/>
      <c r="AH40" s="26"/>
      <c r="AI40" s="12" t="s">
        <v>61</v>
      </c>
      <c r="AJ40" s="16" t="s">
        <v>170</v>
      </c>
      <c r="AK40" s="12" t="s">
        <v>58</v>
      </c>
      <c r="AL40" s="12"/>
      <c r="AM40" s="12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</row>
    <row r="41" spans="1:207" ht="15" customHeight="1" x14ac:dyDescent="0.25">
      <c r="A41" s="27"/>
      <c r="B41" s="12" t="s">
        <v>40</v>
      </c>
      <c r="C41" s="12" t="s">
        <v>40</v>
      </c>
      <c r="D41" s="12" t="s">
        <v>41</v>
      </c>
      <c r="E41" s="18">
        <v>45748</v>
      </c>
      <c r="F41" s="18">
        <v>45748</v>
      </c>
      <c r="G41" s="18" t="s">
        <v>217</v>
      </c>
      <c r="H41" s="31" t="s">
        <v>57</v>
      </c>
      <c r="I41" s="12">
        <v>2</v>
      </c>
      <c r="J41" s="12" t="s">
        <v>42</v>
      </c>
      <c r="K41" s="12"/>
      <c r="L41" s="17" t="s">
        <v>85</v>
      </c>
      <c r="M41" s="16" t="s">
        <v>58</v>
      </c>
      <c r="N41" s="12" t="s">
        <v>91</v>
      </c>
      <c r="O41" s="12"/>
      <c r="P41" s="18">
        <v>45627</v>
      </c>
      <c r="Q41" s="19"/>
      <c r="R41" s="19">
        <v>6084900</v>
      </c>
      <c r="S41" s="19">
        <v>6084900</v>
      </c>
      <c r="T41" s="12" t="s">
        <v>60</v>
      </c>
      <c r="U41" s="12" t="s">
        <v>159</v>
      </c>
      <c r="V41" s="18">
        <v>45758</v>
      </c>
      <c r="W41" s="18"/>
      <c r="X41" s="19"/>
      <c r="Y41" s="19">
        <v>6084900</v>
      </c>
      <c r="Z41" s="19">
        <v>6084900</v>
      </c>
      <c r="AA41" s="25" t="s">
        <v>43</v>
      </c>
      <c r="AB41" s="12"/>
      <c r="AC41" s="12"/>
      <c r="AD41" s="12"/>
      <c r="AE41" s="12"/>
      <c r="AF41" s="12"/>
      <c r="AG41" s="16"/>
      <c r="AH41" s="26"/>
      <c r="AI41" s="12" t="s">
        <v>61</v>
      </c>
      <c r="AJ41" s="16" t="s">
        <v>170</v>
      </c>
      <c r="AK41" s="12" t="s">
        <v>58</v>
      </c>
      <c r="AL41" s="12"/>
      <c r="AM41" s="12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</row>
    <row r="42" spans="1:207" ht="11.25" customHeight="1" x14ac:dyDescent="0.25">
      <c r="A42" s="25"/>
      <c r="B42" s="12" t="s">
        <v>40</v>
      </c>
      <c r="C42" s="12" t="s">
        <v>40</v>
      </c>
      <c r="D42" s="12" t="s">
        <v>41</v>
      </c>
      <c r="E42" s="18">
        <v>45748</v>
      </c>
      <c r="F42" s="18">
        <v>45748</v>
      </c>
      <c r="G42" s="18" t="s">
        <v>217</v>
      </c>
      <c r="H42" s="31" t="s">
        <v>57</v>
      </c>
      <c r="I42" s="12">
        <v>2</v>
      </c>
      <c r="J42" s="12" t="s">
        <v>42</v>
      </c>
      <c r="K42" s="12"/>
      <c r="L42" s="16" t="s">
        <v>65</v>
      </c>
      <c r="M42" s="16" t="s">
        <v>58</v>
      </c>
      <c r="N42" s="12" t="s">
        <v>90</v>
      </c>
      <c r="O42" s="12"/>
      <c r="P42" s="18">
        <v>45627</v>
      </c>
      <c r="Q42" s="19"/>
      <c r="R42" s="19">
        <v>890000</v>
      </c>
      <c r="S42" s="19">
        <v>890000</v>
      </c>
      <c r="T42" s="12" t="s">
        <v>60</v>
      </c>
      <c r="U42" s="12" t="s">
        <v>160</v>
      </c>
      <c r="V42" s="18">
        <v>45758</v>
      </c>
      <c r="W42" s="18"/>
      <c r="X42" s="19"/>
      <c r="Y42" s="19">
        <v>890000</v>
      </c>
      <c r="Z42" s="19">
        <v>890000</v>
      </c>
      <c r="AA42" s="12" t="s">
        <v>43</v>
      </c>
      <c r="AB42" s="12"/>
      <c r="AC42" s="12"/>
      <c r="AD42" s="12"/>
      <c r="AE42" s="12"/>
      <c r="AF42" s="12"/>
      <c r="AG42" s="16"/>
      <c r="AH42" s="26"/>
      <c r="AI42" s="12" t="s">
        <v>61</v>
      </c>
      <c r="AJ42" s="16" t="s">
        <v>170</v>
      </c>
      <c r="AK42" s="12" t="s">
        <v>58</v>
      </c>
      <c r="AL42" s="12"/>
      <c r="AM42" s="12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</row>
    <row r="43" spans="1:207" ht="11.25" customHeight="1" x14ac:dyDescent="0.25">
      <c r="A43" s="25"/>
      <c r="B43" s="12" t="s">
        <v>40</v>
      </c>
      <c r="C43" s="12" t="s">
        <v>40</v>
      </c>
      <c r="D43" s="12" t="s">
        <v>41</v>
      </c>
      <c r="E43" s="18">
        <v>45748</v>
      </c>
      <c r="F43" s="18">
        <v>45748</v>
      </c>
      <c r="G43" s="18" t="s">
        <v>217</v>
      </c>
      <c r="H43" s="31" t="s">
        <v>57</v>
      </c>
      <c r="I43" s="12">
        <v>2</v>
      </c>
      <c r="J43" s="12" t="s">
        <v>42</v>
      </c>
      <c r="K43" s="12"/>
      <c r="L43" s="16" t="s">
        <v>49</v>
      </c>
      <c r="M43" s="16" t="s">
        <v>58</v>
      </c>
      <c r="N43" s="12" t="s">
        <v>116</v>
      </c>
      <c r="O43" s="12"/>
      <c r="P43" s="18">
        <v>45627</v>
      </c>
      <c r="Q43" s="19"/>
      <c r="R43" s="19">
        <v>16745706.52</v>
      </c>
      <c r="S43" s="19">
        <v>16745706.52</v>
      </c>
      <c r="T43" s="12" t="s">
        <v>60</v>
      </c>
      <c r="U43" s="12" t="s">
        <v>161</v>
      </c>
      <c r="V43" s="18">
        <v>45758</v>
      </c>
      <c r="W43" s="18"/>
      <c r="X43" s="19"/>
      <c r="Y43" s="19">
        <v>16745706.52</v>
      </c>
      <c r="Z43" s="19">
        <v>16745706.52</v>
      </c>
      <c r="AA43" s="25" t="s">
        <v>43</v>
      </c>
      <c r="AB43" s="12"/>
      <c r="AC43" s="12"/>
      <c r="AD43" s="12"/>
      <c r="AE43" s="12"/>
      <c r="AF43" s="12"/>
      <c r="AG43" s="16"/>
      <c r="AH43" s="26"/>
      <c r="AI43" s="12" t="s">
        <v>61</v>
      </c>
      <c r="AJ43" s="16" t="s">
        <v>170</v>
      </c>
      <c r="AK43" s="12" t="s">
        <v>58</v>
      </c>
      <c r="AL43" s="12"/>
      <c r="AM43" s="12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</row>
    <row r="44" spans="1:207" ht="11.25" customHeight="1" x14ac:dyDescent="0.25">
      <c r="A44" s="25"/>
      <c r="B44" s="12" t="s">
        <v>40</v>
      </c>
      <c r="C44" s="12" t="s">
        <v>54</v>
      </c>
      <c r="D44" s="12" t="s">
        <v>41</v>
      </c>
      <c r="E44" s="18">
        <v>45748</v>
      </c>
      <c r="F44" s="18">
        <v>45748</v>
      </c>
      <c r="G44" s="18" t="s">
        <v>217</v>
      </c>
      <c r="H44" s="31" t="s">
        <v>57</v>
      </c>
      <c r="I44" s="12">
        <v>2</v>
      </c>
      <c r="J44" s="12" t="s">
        <v>42</v>
      </c>
      <c r="K44" s="12"/>
      <c r="L44" s="17" t="s">
        <v>50</v>
      </c>
      <c r="M44" s="16" t="s">
        <v>58</v>
      </c>
      <c r="N44" s="12" t="s">
        <v>59</v>
      </c>
      <c r="O44" s="12"/>
      <c r="P44" s="18">
        <v>45627</v>
      </c>
      <c r="Q44" s="19"/>
      <c r="R44" s="19">
        <v>58412501.079999998</v>
      </c>
      <c r="S44" s="19">
        <v>58412501.079999998</v>
      </c>
      <c r="T44" s="12" t="s">
        <v>60</v>
      </c>
      <c r="U44" s="12" t="s">
        <v>162</v>
      </c>
      <c r="V44" s="18">
        <v>45758</v>
      </c>
      <c r="W44" s="18"/>
      <c r="X44" s="19"/>
      <c r="Y44" s="19">
        <v>58412501.079999998</v>
      </c>
      <c r="Z44" s="19">
        <v>58412501.079999998</v>
      </c>
      <c r="AA44" s="25" t="s">
        <v>43</v>
      </c>
      <c r="AB44" s="12"/>
      <c r="AC44" s="12"/>
      <c r="AD44" s="12"/>
      <c r="AE44" s="12"/>
      <c r="AF44" s="12"/>
      <c r="AG44" s="16"/>
      <c r="AH44" s="26"/>
      <c r="AI44" s="12" t="s">
        <v>61</v>
      </c>
      <c r="AJ44" s="16" t="s">
        <v>170</v>
      </c>
      <c r="AK44" s="12" t="s">
        <v>58</v>
      </c>
      <c r="AL44" s="12"/>
      <c r="AM44" s="12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</row>
    <row r="45" spans="1:207" ht="15" customHeight="1" x14ac:dyDescent="0.25">
      <c r="A45" s="27"/>
      <c r="B45" s="12" t="s">
        <v>40</v>
      </c>
      <c r="C45" s="12" t="s">
        <v>54</v>
      </c>
      <c r="D45" s="12" t="s">
        <v>41</v>
      </c>
      <c r="E45" s="18">
        <v>45748</v>
      </c>
      <c r="F45" s="18">
        <v>45748</v>
      </c>
      <c r="G45" s="18" t="s">
        <v>217</v>
      </c>
      <c r="H45" s="31" t="s">
        <v>57</v>
      </c>
      <c r="I45" s="12">
        <v>2</v>
      </c>
      <c r="J45" s="12" t="s">
        <v>42</v>
      </c>
      <c r="K45" s="12"/>
      <c r="L45" s="12" t="s">
        <v>110</v>
      </c>
      <c r="M45" s="16" t="s">
        <v>58</v>
      </c>
      <c r="N45" s="12" t="s">
        <v>111</v>
      </c>
      <c r="O45" s="12"/>
      <c r="P45" s="18">
        <v>45627</v>
      </c>
      <c r="Q45" s="19"/>
      <c r="R45" s="19">
        <v>1053090</v>
      </c>
      <c r="S45" s="19">
        <v>1053090</v>
      </c>
      <c r="T45" s="12" t="s">
        <v>60</v>
      </c>
      <c r="U45" s="12" t="s">
        <v>163</v>
      </c>
      <c r="V45" s="18">
        <v>45758</v>
      </c>
      <c r="W45" s="18"/>
      <c r="X45" s="19"/>
      <c r="Y45" s="19">
        <v>1053090</v>
      </c>
      <c r="Z45" s="19">
        <v>1053090</v>
      </c>
      <c r="AA45" s="12" t="s">
        <v>43</v>
      </c>
      <c r="AB45" s="12"/>
      <c r="AC45" s="12"/>
      <c r="AD45" s="12"/>
      <c r="AE45" s="12"/>
      <c r="AF45" s="12"/>
      <c r="AG45" s="12"/>
      <c r="AH45" s="26"/>
      <c r="AI45" s="12" t="s">
        <v>61</v>
      </c>
      <c r="AJ45" s="16" t="s">
        <v>170</v>
      </c>
      <c r="AK45" s="12" t="s">
        <v>58</v>
      </c>
      <c r="AL45" s="12"/>
      <c r="AM45" s="12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</row>
    <row r="46" spans="1:207" ht="11.25" customHeight="1" x14ac:dyDescent="0.25">
      <c r="A46" s="25"/>
      <c r="B46" s="12" t="s">
        <v>40</v>
      </c>
      <c r="C46" s="12" t="s">
        <v>54</v>
      </c>
      <c r="D46" s="12" t="s">
        <v>41</v>
      </c>
      <c r="E46" s="18">
        <v>45748</v>
      </c>
      <c r="F46" s="18">
        <v>45748</v>
      </c>
      <c r="G46" s="18" t="s">
        <v>217</v>
      </c>
      <c r="H46" s="31" t="s">
        <v>57</v>
      </c>
      <c r="I46" s="12">
        <v>2</v>
      </c>
      <c r="J46" s="12" t="s">
        <v>42</v>
      </c>
      <c r="K46" s="12"/>
      <c r="L46" s="12" t="s">
        <v>62</v>
      </c>
      <c r="M46" s="16" t="s">
        <v>58</v>
      </c>
      <c r="N46" s="12" t="s">
        <v>108</v>
      </c>
      <c r="O46" s="12"/>
      <c r="P46" s="18">
        <v>45627</v>
      </c>
      <c r="Q46" s="19"/>
      <c r="R46" s="19">
        <v>18442800</v>
      </c>
      <c r="S46" s="19">
        <v>18442800</v>
      </c>
      <c r="T46" s="12" t="s">
        <v>60</v>
      </c>
      <c r="U46" s="12" t="s">
        <v>165</v>
      </c>
      <c r="V46" s="18">
        <v>45758</v>
      </c>
      <c r="W46" s="18"/>
      <c r="X46" s="19"/>
      <c r="Y46" s="19">
        <v>18442800</v>
      </c>
      <c r="Z46" s="19">
        <v>18442800</v>
      </c>
      <c r="AA46" s="12" t="s">
        <v>43</v>
      </c>
      <c r="AB46" s="12"/>
      <c r="AC46" s="12"/>
      <c r="AD46" s="12"/>
      <c r="AE46" s="12"/>
      <c r="AF46" s="12"/>
      <c r="AG46" s="12"/>
      <c r="AH46" s="26"/>
      <c r="AI46" s="12" t="s">
        <v>61</v>
      </c>
      <c r="AJ46" s="16" t="s">
        <v>170</v>
      </c>
      <c r="AK46" s="12" t="s">
        <v>58</v>
      </c>
      <c r="AL46" s="12"/>
      <c r="AM46" s="12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</row>
    <row r="47" spans="1:207" ht="11.25" customHeight="1" x14ac:dyDescent="0.25">
      <c r="A47" s="25"/>
      <c r="B47" s="12" t="s">
        <v>40</v>
      </c>
      <c r="C47" s="12" t="s">
        <v>40</v>
      </c>
      <c r="D47" s="12" t="s">
        <v>41</v>
      </c>
      <c r="E47" s="18">
        <v>45748</v>
      </c>
      <c r="F47" s="18">
        <v>45748</v>
      </c>
      <c r="G47" s="18" t="s">
        <v>217</v>
      </c>
      <c r="H47" s="31" t="s">
        <v>57</v>
      </c>
      <c r="I47" s="12">
        <v>2</v>
      </c>
      <c r="J47" s="12" t="s">
        <v>42</v>
      </c>
      <c r="K47" s="12"/>
      <c r="L47" s="17" t="s">
        <v>88</v>
      </c>
      <c r="M47" s="16" t="s">
        <v>58</v>
      </c>
      <c r="N47" s="12" t="s">
        <v>89</v>
      </c>
      <c r="O47" s="12"/>
      <c r="P47" s="18">
        <v>45627</v>
      </c>
      <c r="Q47" s="19"/>
      <c r="R47" s="19">
        <v>250000</v>
      </c>
      <c r="S47" s="19">
        <v>250000</v>
      </c>
      <c r="T47" s="12" t="s">
        <v>60</v>
      </c>
      <c r="U47" s="12" t="s">
        <v>164</v>
      </c>
      <c r="V47" s="18">
        <v>45758</v>
      </c>
      <c r="W47" s="18"/>
      <c r="X47" s="19"/>
      <c r="Y47" s="19">
        <v>250000</v>
      </c>
      <c r="Z47" s="19">
        <v>250000</v>
      </c>
      <c r="AA47" s="12" t="s">
        <v>43</v>
      </c>
      <c r="AB47" s="12"/>
      <c r="AC47" s="12"/>
      <c r="AD47" s="12"/>
      <c r="AE47" s="12"/>
      <c r="AF47" s="12"/>
      <c r="AG47" s="16"/>
      <c r="AH47" s="19"/>
      <c r="AI47" s="12" t="s">
        <v>61</v>
      </c>
      <c r="AJ47" s="16" t="s">
        <v>170</v>
      </c>
      <c r="AK47" s="12" t="s">
        <v>58</v>
      </c>
      <c r="AL47" s="12"/>
      <c r="AM47" s="12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</row>
    <row r="48" spans="1:207" ht="15" customHeight="1" x14ac:dyDescent="0.25">
      <c r="A48" s="27"/>
      <c r="B48" s="12" t="s">
        <v>40</v>
      </c>
      <c r="C48" s="12" t="s">
        <v>54</v>
      </c>
      <c r="D48" s="12" t="s">
        <v>41</v>
      </c>
      <c r="E48" s="18">
        <v>45748</v>
      </c>
      <c r="F48" s="18">
        <v>45748</v>
      </c>
      <c r="G48" s="18" t="s">
        <v>217</v>
      </c>
      <c r="H48" s="31" t="s">
        <v>57</v>
      </c>
      <c r="I48" s="12">
        <v>2</v>
      </c>
      <c r="J48" s="12" t="s">
        <v>42</v>
      </c>
      <c r="K48" s="12"/>
      <c r="L48" s="12" t="s">
        <v>135</v>
      </c>
      <c r="M48" s="16" t="s">
        <v>58</v>
      </c>
      <c r="N48" s="12" t="s">
        <v>154</v>
      </c>
      <c r="O48" s="12"/>
      <c r="P48" s="18">
        <v>45627</v>
      </c>
      <c r="Q48" s="19"/>
      <c r="R48" s="19">
        <v>220000</v>
      </c>
      <c r="S48" s="19">
        <v>220000</v>
      </c>
      <c r="T48" s="12" t="s">
        <v>60</v>
      </c>
      <c r="U48" s="12" t="s">
        <v>166</v>
      </c>
      <c r="V48" s="18">
        <v>45758</v>
      </c>
      <c r="W48" s="18"/>
      <c r="X48" s="19"/>
      <c r="Y48" s="19">
        <v>220000</v>
      </c>
      <c r="Z48" s="19">
        <v>220000</v>
      </c>
      <c r="AA48" s="12" t="s">
        <v>43</v>
      </c>
      <c r="AB48" s="12"/>
      <c r="AC48" s="12"/>
      <c r="AD48" s="12"/>
      <c r="AE48" s="12"/>
      <c r="AF48" s="12"/>
      <c r="AG48" s="12"/>
      <c r="AH48" s="26"/>
      <c r="AI48" s="12" t="s">
        <v>61</v>
      </c>
      <c r="AJ48" s="16" t="s">
        <v>170</v>
      </c>
      <c r="AK48" s="12" t="s">
        <v>58</v>
      </c>
      <c r="AL48" s="12"/>
      <c r="AM48" s="12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</row>
    <row r="49" spans="1:207" ht="11.25" customHeight="1" x14ac:dyDescent="0.25">
      <c r="A49" s="25"/>
      <c r="B49" s="12" t="s">
        <v>40</v>
      </c>
      <c r="C49" s="12" t="s">
        <v>40</v>
      </c>
      <c r="D49" s="12" t="s">
        <v>41</v>
      </c>
      <c r="E49" s="18">
        <v>45748</v>
      </c>
      <c r="F49" s="18">
        <v>45748</v>
      </c>
      <c r="G49" s="18" t="s">
        <v>217</v>
      </c>
      <c r="H49" s="31" t="s">
        <v>57</v>
      </c>
      <c r="I49" s="12">
        <v>2</v>
      </c>
      <c r="J49" s="12" t="s">
        <v>42</v>
      </c>
      <c r="K49" s="12"/>
      <c r="L49" s="17" t="s">
        <v>88</v>
      </c>
      <c r="M49" s="16" t="s">
        <v>58</v>
      </c>
      <c r="N49" s="12" t="s">
        <v>155</v>
      </c>
      <c r="O49" s="12"/>
      <c r="P49" s="18">
        <v>45627</v>
      </c>
      <c r="Q49" s="19"/>
      <c r="R49" s="19">
        <v>280000</v>
      </c>
      <c r="S49" s="19">
        <v>280000</v>
      </c>
      <c r="T49" s="12" t="s">
        <v>60</v>
      </c>
      <c r="U49" s="12" t="s">
        <v>167</v>
      </c>
      <c r="V49" s="18">
        <v>45758</v>
      </c>
      <c r="W49" s="18"/>
      <c r="X49" s="19"/>
      <c r="Y49" s="19">
        <v>280000</v>
      </c>
      <c r="Z49" s="19">
        <v>280000</v>
      </c>
      <c r="AA49" s="12" t="s">
        <v>43</v>
      </c>
      <c r="AB49" s="12"/>
      <c r="AC49" s="12"/>
      <c r="AD49" s="12"/>
      <c r="AE49" s="12"/>
      <c r="AF49" s="12"/>
      <c r="AG49" s="16"/>
      <c r="AH49" s="19"/>
      <c r="AI49" s="12" t="s">
        <v>61</v>
      </c>
      <c r="AJ49" s="16" t="s">
        <v>170</v>
      </c>
      <c r="AK49" s="12" t="s">
        <v>58</v>
      </c>
      <c r="AL49" s="12"/>
      <c r="AM49" s="12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</row>
    <row r="50" spans="1:207" ht="11.25" customHeight="1" x14ac:dyDescent="0.25">
      <c r="A50" s="25"/>
      <c r="B50" s="12" t="s">
        <v>40</v>
      </c>
      <c r="C50" s="12" t="s">
        <v>40</v>
      </c>
      <c r="D50" s="12" t="s">
        <v>41</v>
      </c>
      <c r="E50" s="18">
        <v>45748</v>
      </c>
      <c r="F50" s="18">
        <v>45748</v>
      </c>
      <c r="G50" s="18" t="s">
        <v>217</v>
      </c>
      <c r="H50" s="31" t="s">
        <v>57</v>
      </c>
      <c r="I50" s="12">
        <v>2</v>
      </c>
      <c r="J50" s="12" t="s">
        <v>42</v>
      </c>
      <c r="K50" s="12"/>
      <c r="L50" s="17" t="s">
        <v>88</v>
      </c>
      <c r="M50" s="16" t="s">
        <v>58</v>
      </c>
      <c r="N50" s="12" t="s">
        <v>118</v>
      </c>
      <c r="O50" s="12"/>
      <c r="P50" s="18">
        <v>45627</v>
      </c>
      <c r="Q50" s="19"/>
      <c r="R50" s="19">
        <v>400000</v>
      </c>
      <c r="S50" s="19">
        <v>400000</v>
      </c>
      <c r="T50" s="12" t="s">
        <v>60</v>
      </c>
      <c r="U50" s="12" t="s">
        <v>168</v>
      </c>
      <c r="V50" s="18">
        <v>45758</v>
      </c>
      <c r="W50" s="18"/>
      <c r="X50" s="19"/>
      <c r="Y50" s="19">
        <v>400000</v>
      </c>
      <c r="Z50" s="19">
        <v>400000</v>
      </c>
      <c r="AA50" s="12" t="s">
        <v>43</v>
      </c>
      <c r="AB50" s="12"/>
      <c r="AC50" s="12"/>
      <c r="AD50" s="12"/>
      <c r="AE50" s="12"/>
      <c r="AF50" s="12"/>
      <c r="AG50" s="16"/>
      <c r="AH50" s="19"/>
      <c r="AI50" s="12" t="s">
        <v>61</v>
      </c>
      <c r="AJ50" s="16" t="s">
        <v>170</v>
      </c>
      <c r="AK50" s="12" t="s">
        <v>58</v>
      </c>
      <c r="AL50" s="12"/>
      <c r="AM50" s="12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</row>
    <row r="51" spans="1:207" ht="11.25" customHeight="1" x14ac:dyDescent="0.25">
      <c r="A51" s="25"/>
      <c r="B51" s="12" t="s">
        <v>40</v>
      </c>
      <c r="C51" s="12" t="s">
        <v>40</v>
      </c>
      <c r="D51" s="12" t="s">
        <v>41</v>
      </c>
      <c r="E51" s="18">
        <v>45748</v>
      </c>
      <c r="F51" s="18">
        <v>45748</v>
      </c>
      <c r="G51" s="18" t="s">
        <v>217</v>
      </c>
      <c r="H51" s="31" t="s">
        <v>57</v>
      </c>
      <c r="I51" s="12">
        <v>2</v>
      </c>
      <c r="J51" s="12" t="s">
        <v>42</v>
      </c>
      <c r="K51" s="12"/>
      <c r="L51" s="17" t="s">
        <v>88</v>
      </c>
      <c r="M51" s="16" t="s">
        <v>58</v>
      </c>
      <c r="N51" s="12" t="s">
        <v>156</v>
      </c>
      <c r="O51" s="12"/>
      <c r="P51" s="18">
        <v>45627</v>
      </c>
      <c r="Q51" s="19"/>
      <c r="R51" s="19">
        <v>1450000</v>
      </c>
      <c r="S51" s="19">
        <v>1450000</v>
      </c>
      <c r="T51" s="12" t="s">
        <v>60</v>
      </c>
      <c r="U51" s="12" t="s">
        <v>169</v>
      </c>
      <c r="V51" s="18">
        <v>45758</v>
      </c>
      <c r="W51" s="18"/>
      <c r="X51" s="19"/>
      <c r="Y51" s="19">
        <v>1450000</v>
      </c>
      <c r="Z51" s="19">
        <v>1450000</v>
      </c>
      <c r="AA51" s="12" t="s">
        <v>43</v>
      </c>
      <c r="AB51" s="12"/>
      <c r="AC51" s="12"/>
      <c r="AD51" s="12"/>
      <c r="AE51" s="12"/>
      <c r="AF51" s="12"/>
      <c r="AG51" s="16"/>
      <c r="AH51" s="19"/>
      <c r="AI51" s="12" t="s">
        <v>61</v>
      </c>
      <c r="AJ51" s="16" t="s">
        <v>170</v>
      </c>
      <c r="AK51" s="12" t="s">
        <v>58</v>
      </c>
      <c r="AL51" s="12"/>
      <c r="AM51" s="12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</row>
    <row r="52" spans="1:207" ht="11.25" customHeight="1" x14ac:dyDescent="0.25">
      <c r="A52" s="25"/>
      <c r="B52" s="12" t="s">
        <v>40</v>
      </c>
      <c r="C52" s="12" t="s">
        <v>40</v>
      </c>
      <c r="D52" s="12" t="s">
        <v>41</v>
      </c>
      <c r="E52" s="18">
        <v>45762</v>
      </c>
      <c r="F52" s="18">
        <v>45762</v>
      </c>
      <c r="G52" s="18" t="s">
        <v>217</v>
      </c>
      <c r="H52" s="31" t="s">
        <v>57</v>
      </c>
      <c r="I52" s="12">
        <v>2</v>
      </c>
      <c r="J52" s="12" t="s">
        <v>42</v>
      </c>
      <c r="K52" s="12"/>
      <c r="L52" s="16" t="s">
        <v>49</v>
      </c>
      <c r="M52" s="16" t="s">
        <v>58</v>
      </c>
      <c r="N52" s="12" t="s">
        <v>116</v>
      </c>
      <c r="O52" s="12"/>
      <c r="P52" s="18">
        <v>45568</v>
      </c>
      <c r="Q52" s="19"/>
      <c r="R52" s="19">
        <v>9890000</v>
      </c>
      <c r="S52" s="19">
        <v>9890000</v>
      </c>
      <c r="T52" s="12" t="s">
        <v>60</v>
      </c>
      <c r="U52" s="12" t="s">
        <v>171</v>
      </c>
      <c r="V52" s="18">
        <v>45776</v>
      </c>
      <c r="W52" s="18"/>
      <c r="X52" s="19"/>
      <c r="Y52" s="19">
        <v>9890000</v>
      </c>
      <c r="Z52" s="19">
        <v>9890000</v>
      </c>
      <c r="AA52" s="25" t="s">
        <v>43</v>
      </c>
      <c r="AB52" s="12"/>
      <c r="AC52" s="12"/>
      <c r="AD52" s="12"/>
      <c r="AE52" s="12"/>
      <c r="AF52" s="12"/>
      <c r="AG52" s="16"/>
      <c r="AH52" s="26"/>
      <c r="AI52" s="12" t="s">
        <v>61</v>
      </c>
      <c r="AJ52" s="16" t="s">
        <v>172</v>
      </c>
      <c r="AK52" s="12" t="s">
        <v>58</v>
      </c>
      <c r="AL52" s="12"/>
      <c r="AM52" s="12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</row>
    <row r="53" spans="1:207" ht="11.25" customHeight="1" x14ac:dyDescent="0.25">
      <c r="A53" s="25"/>
      <c r="B53" s="12" t="s">
        <v>40</v>
      </c>
      <c r="C53" s="12" t="s">
        <v>54</v>
      </c>
      <c r="D53" s="12" t="s">
        <v>41</v>
      </c>
      <c r="E53" s="18">
        <v>45775</v>
      </c>
      <c r="F53" s="18">
        <v>45775</v>
      </c>
      <c r="G53" s="18" t="s">
        <v>217</v>
      </c>
      <c r="H53" s="31" t="s">
        <v>57</v>
      </c>
      <c r="I53" s="12">
        <v>2</v>
      </c>
      <c r="J53" s="12" t="s">
        <v>42</v>
      </c>
      <c r="K53" s="12"/>
      <c r="L53" s="16" t="s">
        <v>63</v>
      </c>
      <c r="M53" s="16" t="s">
        <v>58</v>
      </c>
      <c r="N53" s="12" t="s">
        <v>77</v>
      </c>
      <c r="O53" s="12"/>
      <c r="P53" s="18">
        <v>45689</v>
      </c>
      <c r="Q53" s="19"/>
      <c r="R53" s="19">
        <v>20905822</v>
      </c>
      <c r="S53" s="19">
        <v>20905822</v>
      </c>
      <c r="T53" s="12" t="s">
        <v>60</v>
      </c>
      <c r="U53" s="12" t="s">
        <v>178</v>
      </c>
      <c r="V53" s="18">
        <v>45790</v>
      </c>
      <c r="W53" s="18"/>
      <c r="X53" s="19"/>
      <c r="Y53" s="19">
        <v>20905822</v>
      </c>
      <c r="Z53" s="19">
        <v>20905822</v>
      </c>
      <c r="AA53" s="12" t="s">
        <v>43</v>
      </c>
      <c r="AB53" s="12"/>
      <c r="AC53" s="12"/>
      <c r="AD53" s="12"/>
      <c r="AE53" s="12"/>
      <c r="AF53" s="12"/>
      <c r="AG53" s="16"/>
      <c r="AH53" s="26"/>
      <c r="AI53" s="12" t="s">
        <v>61</v>
      </c>
      <c r="AJ53" s="16" t="s">
        <v>190</v>
      </c>
      <c r="AK53" s="12" t="s">
        <v>58</v>
      </c>
      <c r="AL53" s="12"/>
      <c r="AM53" s="12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</row>
    <row r="54" spans="1:207" ht="15" customHeight="1" x14ac:dyDescent="0.25">
      <c r="A54" s="27"/>
      <c r="B54" s="12" t="s">
        <v>40</v>
      </c>
      <c r="C54" s="12" t="s">
        <v>54</v>
      </c>
      <c r="D54" s="12" t="s">
        <v>41</v>
      </c>
      <c r="E54" s="18">
        <v>45775</v>
      </c>
      <c r="F54" s="18">
        <v>45775</v>
      </c>
      <c r="G54" s="18" t="s">
        <v>217</v>
      </c>
      <c r="H54" s="31" t="s">
        <v>57</v>
      </c>
      <c r="I54" s="12">
        <v>2</v>
      </c>
      <c r="J54" s="12" t="s">
        <v>42</v>
      </c>
      <c r="K54" s="12"/>
      <c r="L54" s="12" t="s">
        <v>110</v>
      </c>
      <c r="M54" s="16" t="s">
        <v>58</v>
      </c>
      <c r="N54" s="12" t="s">
        <v>111</v>
      </c>
      <c r="O54" s="12"/>
      <c r="P54" s="18">
        <v>45689</v>
      </c>
      <c r="Q54" s="19"/>
      <c r="R54" s="19">
        <v>720000</v>
      </c>
      <c r="S54" s="19">
        <v>720000</v>
      </c>
      <c r="T54" s="12" t="s">
        <v>60</v>
      </c>
      <c r="U54" s="12" t="s">
        <v>179</v>
      </c>
      <c r="V54" s="18">
        <v>45790</v>
      </c>
      <c r="W54" s="18"/>
      <c r="X54" s="19"/>
      <c r="Y54" s="19">
        <v>720000</v>
      </c>
      <c r="Z54" s="19">
        <v>720000</v>
      </c>
      <c r="AA54" s="12" t="s">
        <v>43</v>
      </c>
      <c r="AB54" s="12"/>
      <c r="AC54" s="12"/>
      <c r="AD54" s="12"/>
      <c r="AE54" s="12"/>
      <c r="AF54" s="12"/>
      <c r="AG54" s="12"/>
      <c r="AH54" s="26"/>
      <c r="AI54" s="12" t="s">
        <v>61</v>
      </c>
      <c r="AJ54" s="16" t="s">
        <v>190</v>
      </c>
      <c r="AK54" s="12" t="s">
        <v>58</v>
      </c>
      <c r="AL54" s="12"/>
      <c r="AM54" s="12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</row>
    <row r="55" spans="1:207" ht="11.25" customHeight="1" x14ac:dyDescent="0.25">
      <c r="A55" s="25"/>
      <c r="B55" s="12" t="s">
        <v>40</v>
      </c>
      <c r="C55" s="12" t="s">
        <v>40</v>
      </c>
      <c r="D55" s="12" t="s">
        <v>41</v>
      </c>
      <c r="E55" s="18">
        <v>45775</v>
      </c>
      <c r="F55" s="18">
        <v>45775</v>
      </c>
      <c r="G55" s="18" t="s">
        <v>217</v>
      </c>
      <c r="H55" s="31" t="s">
        <v>57</v>
      </c>
      <c r="I55" s="12">
        <v>2</v>
      </c>
      <c r="J55" s="12" t="s">
        <v>42</v>
      </c>
      <c r="K55" s="12"/>
      <c r="L55" s="17" t="s">
        <v>88</v>
      </c>
      <c r="M55" s="16" t="s">
        <v>58</v>
      </c>
      <c r="N55" s="12" t="s">
        <v>118</v>
      </c>
      <c r="O55" s="12"/>
      <c r="P55" s="18">
        <v>45689</v>
      </c>
      <c r="Q55" s="19"/>
      <c r="R55" s="19">
        <v>1284000</v>
      </c>
      <c r="S55" s="19">
        <v>1284000</v>
      </c>
      <c r="T55" s="12" t="s">
        <v>60</v>
      </c>
      <c r="U55" s="12" t="s">
        <v>180</v>
      </c>
      <c r="V55" s="18">
        <v>45790</v>
      </c>
      <c r="W55" s="18"/>
      <c r="X55" s="19"/>
      <c r="Y55" s="19">
        <v>1284000</v>
      </c>
      <c r="Z55" s="19">
        <v>1284000</v>
      </c>
      <c r="AA55" s="12" t="s">
        <v>43</v>
      </c>
      <c r="AB55" s="12"/>
      <c r="AC55" s="12"/>
      <c r="AD55" s="12"/>
      <c r="AE55" s="12"/>
      <c r="AF55" s="12"/>
      <c r="AG55" s="16"/>
      <c r="AH55" s="19"/>
      <c r="AI55" s="12" t="s">
        <v>61</v>
      </c>
      <c r="AJ55" s="16" t="s">
        <v>190</v>
      </c>
      <c r="AK55" s="12" t="s">
        <v>58</v>
      </c>
      <c r="AL55" s="12"/>
      <c r="AM55" s="12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</row>
    <row r="56" spans="1:207" ht="11.25" customHeight="1" x14ac:dyDescent="0.25">
      <c r="A56" s="25"/>
      <c r="B56" s="12" t="s">
        <v>41</v>
      </c>
      <c r="C56" s="12" t="s">
        <v>41</v>
      </c>
      <c r="D56" s="12" t="s">
        <v>41</v>
      </c>
      <c r="E56" s="18">
        <v>45775</v>
      </c>
      <c r="F56" s="18">
        <v>45775</v>
      </c>
      <c r="G56" s="18" t="s">
        <v>217</v>
      </c>
      <c r="H56" s="31" t="s">
        <v>57</v>
      </c>
      <c r="I56" s="12">
        <v>2</v>
      </c>
      <c r="J56" s="12" t="s">
        <v>42</v>
      </c>
      <c r="K56" s="12"/>
      <c r="L56" s="16" t="s">
        <v>173</v>
      </c>
      <c r="M56" s="16" t="s">
        <v>58</v>
      </c>
      <c r="N56" s="12" t="s">
        <v>174</v>
      </c>
      <c r="O56" s="12"/>
      <c r="P56" s="18">
        <v>45689</v>
      </c>
      <c r="Q56" s="19"/>
      <c r="R56" s="19">
        <v>600000</v>
      </c>
      <c r="S56" s="19">
        <v>600000</v>
      </c>
      <c r="T56" s="12" t="s">
        <v>60</v>
      </c>
      <c r="U56" s="12" t="s">
        <v>181</v>
      </c>
      <c r="V56" s="18">
        <v>45790</v>
      </c>
      <c r="W56" s="18"/>
      <c r="X56" s="19"/>
      <c r="Y56" s="19">
        <v>600000</v>
      </c>
      <c r="Z56" s="19">
        <v>600000</v>
      </c>
      <c r="AA56" s="12" t="s">
        <v>43</v>
      </c>
      <c r="AB56" s="12"/>
      <c r="AC56" s="12"/>
      <c r="AD56" s="12"/>
      <c r="AE56" s="12"/>
      <c r="AF56" s="12"/>
      <c r="AG56" s="12"/>
      <c r="AH56" s="26"/>
      <c r="AI56" s="12" t="s">
        <v>61</v>
      </c>
      <c r="AJ56" s="16" t="s">
        <v>190</v>
      </c>
      <c r="AK56" s="12" t="s">
        <v>58</v>
      </c>
      <c r="AL56" s="12"/>
      <c r="AM56" s="12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</row>
    <row r="57" spans="1:207" ht="11.25" customHeight="1" x14ac:dyDescent="0.25">
      <c r="A57" s="25"/>
      <c r="B57" s="12" t="s">
        <v>40</v>
      </c>
      <c r="C57" s="12" t="s">
        <v>40</v>
      </c>
      <c r="D57" s="12" t="s">
        <v>41</v>
      </c>
      <c r="E57" s="18">
        <v>45775</v>
      </c>
      <c r="F57" s="18">
        <v>45775</v>
      </c>
      <c r="G57" s="18" t="s">
        <v>217</v>
      </c>
      <c r="H57" s="31" t="s">
        <v>57</v>
      </c>
      <c r="I57" s="12">
        <v>2</v>
      </c>
      <c r="J57" s="12" t="s">
        <v>42</v>
      </c>
      <c r="K57" s="12"/>
      <c r="L57" s="16" t="s">
        <v>49</v>
      </c>
      <c r="M57" s="16" t="s">
        <v>58</v>
      </c>
      <c r="N57" s="12" t="s">
        <v>116</v>
      </c>
      <c r="O57" s="12"/>
      <c r="P57" s="18">
        <v>45689</v>
      </c>
      <c r="Q57" s="19"/>
      <c r="R57" s="19">
        <v>9241741.8100000005</v>
      </c>
      <c r="S57" s="19">
        <v>9241741.8100000005</v>
      </c>
      <c r="T57" s="12" t="s">
        <v>60</v>
      </c>
      <c r="U57" s="12" t="s">
        <v>182</v>
      </c>
      <c r="V57" s="18">
        <v>45790</v>
      </c>
      <c r="W57" s="18"/>
      <c r="X57" s="19"/>
      <c r="Y57" s="19">
        <v>9241741.8100000005</v>
      </c>
      <c r="Z57" s="19">
        <v>9241741.8100000005</v>
      </c>
      <c r="AA57" s="25" t="s">
        <v>43</v>
      </c>
      <c r="AB57" s="12"/>
      <c r="AC57" s="12"/>
      <c r="AD57" s="12"/>
      <c r="AE57" s="12"/>
      <c r="AF57" s="12"/>
      <c r="AG57" s="16"/>
      <c r="AH57" s="26"/>
      <c r="AI57" s="12" t="s">
        <v>61</v>
      </c>
      <c r="AJ57" s="16" t="s">
        <v>190</v>
      </c>
      <c r="AK57" s="12" t="s">
        <v>58</v>
      </c>
      <c r="AL57" s="12"/>
      <c r="AM57" s="12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</row>
    <row r="58" spans="1:207" ht="11.25" customHeight="1" x14ac:dyDescent="0.25">
      <c r="A58" s="25"/>
      <c r="B58" s="12" t="s">
        <v>40</v>
      </c>
      <c r="C58" s="12" t="s">
        <v>54</v>
      </c>
      <c r="D58" s="12" t="s">
        <v>41</v>
      </c>
      <c r="E58" s="18">
        <v>45775</v>
      </c>
      <c r="F58" s="18">
        <v>45775</v>
      </c>
      <c r="G58" s="18" t="s">
        <v>217</v>
      </c>
      <c r="H58" s="31" t="s">
        <v>57</v>
      </c>
      <c r="I58" s="12">
        <v>2</v>
      </c>
      <c r="J58" s="12" t="s">
        <v>42</v>
      </c>
      <c r="K58" s="12"/>
      <c r="L58" s="17" t="s">
        <v>50</v>
      </c>
      <c r="M58" s="16" t="s">
        <v>58</v>
      </c>
      <c r="N58" s="12" t="s">
        <v>59</v>
      </c>
      <c r="O58" s="12"/>
      <c r="P58" s="18">
        <v>45689</v>
      </c>
      <c r="Q58" s="19"/>
      <c r="R58" s="19">
        <v>56998812.140000001</v>
      </c>
      <c r="S58" s="19">
        <v>56998812.140000001</v>
      </c>
      <c r="T58" s="12" t="s">
        <v>60</v>
      </c>
      <c r="U58" s="12" t="s">
        <v>183</v>
      </c>
      <c r="V58" s="18">
        <v>45790</v>
      </c>
      <c r="W58" s="18"/>
      <c r="X58" s="19"/>
      <c r="Y58" s="19">
        <v>56998812.140000001</v>
      </c>
      <c r="Z58" s="19">
        <v>56998812.140000001</v>
      </c>
      <c r="AA58" s="25" t="s">
        <v>43</v>
      </c>
      <c r="AB58" s="12"/>
      <c r="AC58" s="12"/>
      <c r="AD58" s="12"/>
      <c r="AE58" s="12"/>
      <c r="AF58" s="12"/>
      <c r="AG58" s="16"/>
      <c r="AH58" s="26"/>
      <c r="AI58" s="12" t="s">
        <v>61</v>
      </c>
      <c r="AJ58" s="16" t="s">
        <v>190</v>
      </c>
      <c r="AK58" s="12" t="s">
        <v>58</v>
      </c>
      <c r="AL58" s="12"/>
      <c r="AM58" s="12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</row>
    <row r="59" spans="1:207" ht="11.25" customHeight="1" x14ac:dyDescent="0.25">
      <c r="A59" s="25"/>
      <c r="B59" s="12" t="s">
        <v>40</v>
      </c>
      <c r="C59" s="12" t="s">
        <v>54</v>
      </c>
      <c r="D59" s="12" t="s">
        <v>41</v>
      </c>
      <c r="E59" s="18">
        <v>45775</v>
      </c>
      <c r="F59" s="18">
        <v>45775</v>
      </c>
      <c r="G59" s="18" t="s">
        <v>217</v>
      </c>
      <c r="H59" s="31" t="s">
        <v>57</v>
      </c>
      <c r="I59" s="12">
        <v>2</v>
      </c>
      <c r="J59" s="12" t="s">
        <v>42</v>
      </c>
      <c r="K59" s="12"/>
      <c r="L59" s="12" t="s">
        <v>62</v>
      </c>
      <c r="M59" s="16" t="s">
        <v>58</v>
      </c>
      <c r="N59" s="12" t="s">
        <v>108</v>
      </c>
      <c r="O59" s="12"/>
      <c r="P59" s="18">
        <v>45689</v>
      </c>
      <c r="Q59" s="19"/>
      <c r="R59" s="19">
        <v>9614650</v>
      </c>
      <c r="S59" s="19">
        <v>9614650</v>
      </c>
      <c r="T59" s="12" t="s">
        <v>60</v>
      </c>
      <c r="U59" s="12" t="s">
        <v>184</v>
      </c>
      <c r="V59" s="18">
        <v>45790</v>
      </c>
      <c r="W59" s="18"/>
      <c r="X59" s="19"/>
      <c r="Y59" s="19">
        <v>9614650</v>
      </c>
      <c r="Z59" s="19">
        <v>9614650</v>
      </c>
      <c r="AA59" s="12" t="s">
        <v>43</v>
      </c>
      <c r="AB59" s="12"/>
      <c r="AC59" s="12"/>
      <c r="AD59" s="12"/>
      <c r="AE59" s="12"/>
      <c r="AF59" s="12"/>
      <c r="AG59" s="12"/>
      <c r="AH59" s="26"/>
      <c r="AI59" s="12" t="s">
        <v>61</v>
      </c>
      <c r="AJ59" s="16" t="s">
        <v>190</v>
      </c>
      <c r="AK59" s="12" t="s">
        <v>58</v>
      </c>
      <c r="AL59" s="12"/>
      <c r="AM59" s="12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</row>
    <row r="60" spans="1:207" ht="11.25" customHeight="1" x14ac:dyDescent="0.25">
      <c r="A60" s="25"/>
      <c r="B60" s="12" t="s">
        <v>41</v>
      </c>
      <c r="C60" s="12" t="s">
        <v>41</v>
      </c>
      <c r="D60" s="12" t="s">
        <v>41</v>
      </c>
      <c r="E60" s="18">
        <v>45775</v>
      </c>
      <c r="F60" s="18">
        <v>45775</v>
      </c>
      <c r="G60" s="18" t="s">
        <v>217</v>
      </c>
      <c r="H60" s="31" t="s">
        <v>57</v>
      </c>
      <c r="I60" s="12">
        <v>2</v>
      </c>
      <c r="J60" s="12" t="s">
        <v>42</v>
      </c>
      <c r="K60" s="12"/>
      <c r="L60" s="16" t="s">
        <v>73</v>
      </c>
      <c r="M60" s="16" t="s">
        <v>58</v>
      </c>
      <c r="N60" s="12" t="s">
        <v>117</v>
      </c>
      <c r="O60" s="12"/>
      <c r="P60" s="18">
        <v>45689</v>
      </c>
      <c r="Q60" s="19"/>
      <c r="R60" s="19">
        <v>966000</v>
      </c>
      <c r="S60" s="19">
        <v>966000</v>
      </c>
      <c r="T60" s="12" t="s">
        <v>60</v>
      </c>
      <c r="U60" s="12" t="s">
        <v>185</v>
      </c>
      <c r="V60" s="18">
        <v>45790</v>
      </c>
      <c r="W60" s="18"/>
      <c r="X60" s="19"/>
      <c r="Y60" s="19">
        <v>966000</v>
      </c>
      <c r="Z60" s="19">
        <v>966000</v>
      </c>
      <c r="AA60" s="12" t="s">
        <v>43</v>
      </c>
      <c r="AB60" s="12"/>
      <c r="AC60" s="12"/>
      <c r="AD60" s="12"/>
      <c r="AE60" s="12"/>
      <c r="AF60" s="12"/>
      <c r="AG60" s="12"/>
      <c r="AH60" s="26"/>
      <c r="AI60" s="12" t="s">
        <v>61</v>
      </c>
      <c r="AJ60" s="16" t="s">
        <v>190</v>
      </c>
      <c r="AK60" s="12" t="s">
        <v>58</v>
      </c>
      <c r="AL60" s="12"/>
      <c r="AM60" s="12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</row>
    <row r="61" spans="1:207" ht="11.25" customHeight="1" x14ac:dyDescent="0.25">
      <c r="A61" s="25"/>
      <c r="B61" s="12" t="s">
        <v>40</v>
      </c>
      <c r="C61" s="12" t="s">
        <v>40</v>
      </c>
      <c r="D61" s="12" t="s">
        <v>41</v>
      </c>
      <c r="E61" s="18">
        <v>45775</v>
      </c>
      <c r="F61" s="18">
        <v>45775</v>
      </c>
      <c r="G61" s="18" t="s">
        <v>217</v>
      </c>
      <c r="H61" s="31" t="s">
        <v>57</v>
      </c>
      <c r="I61" s="12">
        <v>2</v>
      </c>
      <c r="J61" s="12" t="s">
        <v>42</v>
      </c>
      <c r="K61" s="12"/>
      <c r="L61" s="17" t="s">
        <v>88</v>
      </c>
      <c r="M61" s="16" t="s">
        <v>58</v>
      </c>
      <c r="N61" s="12" t="s">
        <v>156</v>
      </c>
      <c r="O61" s="12"/>
      <c r="P61" s="18">
        <v>45689</v>
      </c>
      <c r="Q61" s="19"/>
      <c r="R61" s="19">
        <v>2426567.1800000002</v>
      </c>
      <c r="S61" s="19">
        <v>2426567.1800000002</v>
      </c>
      <c r="T61" s="12" t="s">
        <v>60</v>
      </c>
      <c r="U61" s="12" t="s">
        <v>186</v>
      </c>
      <c r="V61" s="18">
        <v>45790</v>
      </c>
      <c r="W61" s="18"/>
      <c r="X61" s="19"/>
      <c r="Y61" s="19">
        <v>2426567.1800000002</v>
      </c>
      <c r="Z61" s="19">
        <v>2426567.1800000002</v>
      </c>
      <c r="AA61" s="12" t="s">
        <v>43</v>
      </c>
      <c r="AB61" s="12"/>
      <c r="AC61" s="12"/>
      <c r="AD61" s="12"/>
      <c r="AE61" s="12"/>
      <c r="AF61" s="12"/>
      <c r="AG61" s="16"/>
      <c r="AH61" s="19"/>
      <c r="AI61" s="12" t="s">
        <v>61</v>
      </c>
      <c r="AJ61" s="16" t="s">
        <v>190</v>
      </c>
      <c r="AK61" s="12" t="s">
        <v>58</v>
      </c>
      <c r="AL61" s="12"/>
      <c r="AM61" s="12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</row>
    <row r="62" spans="1:207" ht="11.25" customHeight="1" x14ac:dyDescent="0.25">
      <c r="A62" s="25"/>
      <c r="B62" s="12" t="s">
        <v>40</v>
      </c>
      <c r="C62" s="12" t="s">
        <v>40</v>
      </c>
      <c r="D62" s="12" t="s">
        <v>41</v>
      </c>
      <c r="E62" s="18">
        <v>45775</v>
      </c>
      <c r="F62" s="18">
        <v>45775</v>
      </c>
      <c r="G62" s="18" t="s">
        <v>217</v>
      </c>
      <c r="H62" s="31" t="s">
        <v>57</v>
      </c>
      <c r="I62" s="12">
        <v>2</v>
      </c>
      <c r="J62" s="12" t="s">
        <v>42</v>
      </c>
      <c r="K62" s="12"/>
      <c r="L62" s="17" t="s">
        <v>86</v>
      </c>
      <c r="M62" s="16" t="s">
        <v>58</v>
      </c>
      <c r="N62" s="12" t="s">
        <v>175</v>
      </c>
      <c r="O62" s="12"/>
      <c r="P62" s="18">
        <v>45689</v>
      </c>
      <c r="Q62" s="19"/>
      <c r="R62" s="19">
        <v>7230000.1100000003</v>
      </c>
      <c r="S62" s="19">
        <v>7230000.1100000003</v>
      </c>
      <c r="T62" s="12" t="s">
        <v>60</v>
      </c>
      <c r="U62" s="12" t="s">
        <v>187</v>
      </c>
      <c r="V62" s="18">
        <v>45790</v>
      </c>
      <c r="W62" s="18"/>
      <c r="X62" s="19"/>
      <c r="Y62" s="19">
        <v>7230000.1100000003</v>
      </c>
      <c r="Z62" s="19">
        <v>7230000.1100000003</v>
      </c>
      <c r="AA62" s="25" t="s">
        <v>43</v>
      </c>
      <c r="AB62" s="12"/>
      <c r="AC62" s="12"/>
      <c r="AD62" s="12"/>
      <c r="AE62" s="12"/>
      <c r="AF62" s="12"/>
      <c r="AG62" s="16"/>
      <c r="AH62" s="26"/>
      <c r="AI62" s="12" t="s">
        <v>61</v>
      </c>
      <c r="AJ62" s="16" t="s">
        <v>190</v>
      </c>
      <c r="AK62" s="12" t="s">
        <v>58</v>
      </c>
      <c r="AL62" s="12"/>
      <c r="AM62" s="12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</row>
    <row r="63" spans="1:207" ht="15" customHeight="1" x14ac:dyDescent="0.25">
      <c r="A63" s="27"/>
      <c r="B63" s="12" t="s">
        <v>40</v>
      </c>
      <c r="C63" s="12" t="s">
        <v>40</v>
      </c>
      <c r="D63" s="12" t="s">
        <v>41</v>
      </c>
      <c r="E63" s="18">
        <v>45775</v>
      </c>
      <c r="F63" s="18">
        <v>45775</v>
      </c>
      <c r="G63" s="18" t="s">
        <v>217</v>
      </c>
      <c r="H63" s="31" t="s">
        <v>57</v>
      </c>
      <c r="I63" s="12">
        <v>2</v>
      </c>
      <c r="J63" s="12" t="s">
        <v>42</v>
      </c>
      <c r="K63" s="12"/>
      <c r="L63" s="17" t="s">
        <v>85</v>
      </c>
      <c r="M63" s="16" t="s">
        <v>58</v>
      </c>
      <c r="N63" s="12" t="s">
        <v>176</v>
      </c>
      <c r="O63" s="12"/>
      <c r="P63" s="18">
        <v>45689</v>
      </c>
      <c r="Q63" s="19"/>
      <c r="R63" s="19">
        <v>14806250</v>
      </c>
      <c r="S63" s="19">
        <v>14806250</v>
      </c>
      <c r="T63" s="12" t="s">
        <v>60</v>
      </c>
      <c r="U63" s="12" t="s">
        <v>188</v>
      </c>
      <c r="V63" s="18">
        <v>45790</v>
      </c>
      <c r="W63" s="18"/>
      <c r="X63" s="19"/>
      <c r="Y63" s="19">
        <v>14806250</v>
      </c>
      <c r="Z63" s="19">
        <v>14806250</v>
      </c>
      <c r="AA63" s="25" t="s">
        <v>43</v>
      </c>
      <c r="AB63" s="12"/>
      <c r="AC63" s="12"/>
      <c r="AD63" s="12"/>
      <c r="AE63" s="12"/>
      <c r="AF63" s="12"/>
      <c r="AG63" s="16"/>
      <c r="AH63" s="26"/>
      <c r="AI63" s="12" t="s">
        <v>61</v>
      </c>
      <c r="AJ63" s="16" t="s">
        <v>190</v>
      </c>
      <c r="AK63" s="12" t="s">
        <v>58</v>
      </c>
      <c r="AL63" s="12"/>
      <c r="AM63" s="12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</row>
    <row r="64" spans="1:207" ht="11.25" customHeight="1" x14ac:dyDescent="0.25">
      <c r="A64" s="25"/>
      <c r="B64" s="12" t="s">
        <v>40</v>
      </c>
      <c r="C64" s="12" t="s">
        <v>40</v>
      </c>
      <c r="D64" s="12" t="s">
        <v>41</v>
      </c>
      <c r="E64" s="18">
        <v>45775</v>
      </c>
      <c r="F64" s="18">
        <v>45775</v>
      </c>
      <c r="G64" s="18" t="s">
        <v>217</v>
      </c>
      <c r="H64" s="31" t="s">
        <v>57</v>
      </c>
      <c r="I64" s="12">
        <v>2</v>
      </c>
      <c r="J64" s="12" t="s">
        <v>42</v>
      </c>
      <c r="K64" s="12"/>
      <c r="L64" s="16" t="s">
        <v>65</v>
      </c>
      <c r="M64" s="16" t="s">
        <v>58</v>
      </c>
      <c r="N64" s="12" t="s">
        <v>177</v>
      </c>
      <c r="O64" s="12"/>
      <c r="P64" s="18">
        <v>45689</v>
      </c>
      <c r="Q64" s="19"/>
      <c r="R64" s="19">
        <v>871000</v>
      </c>
      <c r="S64" s="19">
        <v>871000</v>
      </c>
      <c r="T64" s="12" t="s">
        <v>60</v>
      </c>
      <c r="U64" s="12" t="s">
        <v>189</v>
      </c>
      <c r="V64" s="18">
        <v>45790</v>
      </c>
      <c r="W64" s="18"/>
      <c r="X64" s="19"/>
      <c r="Y64" s="19">
        <v>871000</v>
      </c>
      <c r="Z64" s="19">
        <v>871000</v>
      </c>
      <c r="AA64" s="12" t="s">
        <v>43</v>
      </c>
      <c r="AB64" s="12"/>
      <c r="AC64" s="12"/>
      <c r="AD64" s="12"/>
      <c r="AE64" s="12"/>
      <c r="AF64" s="12"/>
      <c r="AG64" s="16"/>
      <c r="AH64" s="26"/>
      <c r="AI64" s="12" t="s">
        <v>61</v>
      </c>
      <c r="AJ64" s="16" t="s">
        <v>190</v>
      </c>
      <c r="AK64" s="12" t="s">
        <v>58</v>
      </c>
      <c r="AL64" s="12"/>
      <c r="AM64" s="12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</row>
    <row r="65" spans="1:207" ht="11.25" customHeight="1" x14ac:dyDescent="0.25">
      <c r="A65" s="25"/>
      <c r="B65" s="12" t="s">
        <v>40</v>
      </c>
      <c r="C65" s="12" t="s">
        <v>54</v>
      </c>
      <c r="D65" s="12" t="s">
        <v>41</v>
      </c>
      <c r="E65" s="18">
        <v>45520</v>
      </c>
      <c r="F65" s="18">
        <v>45520</v>
      </c>
      <c r="G65" s="18" t="s">
        <v>217</v>
      </c>
      <c r="H65" s="31" t="s">
        <v>57</v>
      </c>
      <c r="I65" s="12">
        <v>2</v>
      </c>
      <c r="J65" s="12" t="s">
        <v>42</v>
      </c>
      <c r="K65" s="12"/>
      <c r="L65" s="16" t="s">
        <v>63</v>
      </c>
      <c r="M65" s="16" t="s">
        <v>58</v>
      </c>
      <c r="N65" s="12" t="s">
        <v>77</v>
      </c>
      <c r="O65" s="12"/>
      <c r="P65" s="18">
        <v>45413</v>
      </c>
      <c r="Q65" s="19"/>
      <c r="R65" s="19">
        <v>15428215.119999999</v>
      </c>
      <c r="S65" s="19">
        <v>15428215.119999999</v>
      </c>
      <c r="T65" s="12" t="s">
        <v>60</v>
      </c>
      <c r="U65" s="12" t="s">
        <v>95</v>
      </c>
      <c r="V65" s="18">
        <v>45524</v>
      </c>
      <c r="W65" s="18">
        <v>45674</v>
      </c>
      <c r="X65" s="19"/>
      <c r="Y65" s="19">
        <v>15428215.119999999</v>
      </c>
      <c r="Z65" s="19">
        <v>15428215.119999999</v>
      </c>
      <c r="AA65" s="12" t="s">
        <v>43</v>
      </c>
      <c r="AB65" s="12"/>
      <c r="AC65" s="12"/>
      <c r="AD65" s="12"/>
      <c r="AE65" s="12"/>
      <c r="AF65" s="12"/>
      <c r="AG65" s="16"/>
      <c r="AH65" s="26"/>
      <c r="AI65" s="12" t="s">
        <v>61</v>
      </c>
      <c r="AJ65" s="16" t="s">
        <v>104</v>
      </c>
      <c r="AK65" s="12" t="s">
        <v>58</v>
      </c>
      <c r="AL65" s="12"/>
      <c r="AM65" s="12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</row>
    <row r="66" spans="1:207" ht="11.25" customHeight="1" x14ac:dyDescent="0.25">
      <c r="A66" s="25"/>
      <c r="B66" s="12" t="s">
        <v>40</v>
      </c>
      <c r="C66" s="12" t="s">
        <v>40</v>
      </c>
      <c r="D66" s="12" t="s">
        <v>41</v>
      </c>
      <c r="E66" s="18">
        <v>45520</v>
      </c>
      <c r="F66" s="18">
        <v>45520</v>
      </c>
      <c r="G66" s="18" t="s">
        <v>217</v>
      </c>
      <c r="H66" s="31" t="s">
        <v>57</v>
      </c>
      <c r="I66" s="12">
        <v>2</v>
      </c>
      <c r="J66" s="12" t="s">
        <v>42</v>
      </c>
      <c r="K66" s="12"/>
      <c r="L66" s="17" t="s">
        <v>86</v>
      </c>
      <c r="M66" s="16" t="s">
        <v>58</v>
      </c>
      <c r="N66" s="12" t="s">
        <v>87</v>
      </c>
      <c r="O66" s="12"/>
      <c r="P66" s="18">
        <v>45413</v>
      </c>
      <c r="Q66" s="19"/>
      <c r="R66" s="19">
        <v>7020476.4299999997</v>
      </c>
      <c r="S66" s="19">
        <v>7020476.4299999997</v>
      </c>
      <c r="T66" s="16" t="s">
        <v>60</v>
      </c>
      <c r="U66" s="12" t="s">
        <v>96</v>
      </c>
      <c r="V66" s="18">
        <v>45524</v>
      </c>
      <c r="W66" s="18">
        <v>45674</v>
      </c>
      <c r="X66" s="19"/>
      <c r="Y66" s="19">
        <v>7020476.4299999997</v>
      </c>
      <c r="Z66" s="19">
        <v>7020476.4299999997</v>
      </c>
      <c r="AA66" s="25" t="s">
        <v>43</v>
      </c>
      <c r="AB66" s="12"/>
      <c r="AC66" s="12"/>
      <c r="AD66" s="12"/>
      <c r="AE66" s="12"/>
      <c r="AF66" s="12"/>
      <c r="AG66" s="16"/>
      <c r="AH66" s="26"/>
      <c r="AI66" s="12" t="s">
        <v>61</v>
      </c>
      <c r="AJ66" s="16" t="s">
        <v>104</v>
      </c>
      <c r="AK66" s="12" t="s">
        <v>58</v>
      </c>
      <c r="AL66" s="12"/>
      <c r="AM66" s="12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</row>
    <row r="67" spans="1:207" ht="11.25" customHeight="1" x14ac:dyDescent="0.25">
      <c r="A67" s="25"/>
      <c r="B67" s="12" t="s">
        <v>40</v>
      </c>
      <c r="C67" s="12" t="s">
        <v>40</v>
      </c>
      <c r="D67" s="12" t="s">
        <v>41</v>
      </c>
      <c r="E67" s="18">
        <v>45520</v>
      </c>
      <c r="F67" s="18">
        <v>45520</v>
      </c>
      <c r="G67" s="18" t="s">
        <v>217</v>
      </c>
      <c r="H67" s="31" t="s">
        <v>57</v>
      </c>
      <c r="I67" s="12">
        <v>2</v>
      </c>
      <c r="J67" s="12" t="s">
        <v>42</v>
      </c>
      <c r="K67" s="12"/>
      <c r="L67" s="17" t="s">
        <v>85</v>
      </c>
      <c r="M67" s="16" t="s">
        <v>58</v>
      </c>
      <c r="N67" s="12" t="s">
        <v>103</v>
      </c>
      <c r="O67" s="12"/>
      <c r="P67" s="18">
        <v>45413</v>
      </c>
      <c r="Q67" s="19"/>
      <c r="R67" s="19">
        <v>1097000</v>
      </c>
      <c r="S67" s="19">
        <v>1097000</v>
      </c>
      <c r="T67" s="16" t="s">
        <v>60</v>
      </c>
      <c r="U67" s="12" t="s">
        <v>97</v>
      </c>
      <c r="V67" s="18">
        <v>45524</v>
      </c>
      <c r="W67" s="18">
        <v>45674</v>
      </c>
      <c r="X67" s="19"/>
      <c r="Y67" s="19">
        <v>1097000</v>
      </c>
      <c r="Z67" s="19">
        <v>1097000</v>
      </c>
      <c r="AA67" s="25" t="s">
        <v>43</v>
      </c>
      <c r="AB67" s="12"/>
      <c r="AC67" s="12"/>
      <c r="AD67" s="12"/>
      <c r="AE67" s="12"/>
      <c r="AF67" s="12"/>
      <c r="AG67" s="16"/>
      <c r="AH67" s="26"/>
      <c r="AI67" s="12" t="s">
        <v>61</v>
      </c>
      <c r="AJ67" s="16" t="s">
        <v>104</v>
      </c>
      <c r="AK67" s="12" t="s">
        <v>58</v>
      </c>
      <c r="AL67" s="12"/>
      <c r="AM67" s="12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</row>
    <row r="68" spans="1:207" ht="11.25" customHeight="1" x14ac:dyDescent="0.25">
      <c r="A68" s="25"/>
      <c r="B68" s="12" t="s">
        <v>40</v>
      </c>
      <c r="C68" s="12" t="s">
        <v>54</v>
      </c>
      <c r="D68" s="12" t="s">
        <v>41</v>
      </c>
      <c r="E68" s="18">
        <v>45520</v>
      </c>
      <c r="F68" s="18">
        <v>45520</v>
      </c>
      <c r="G68" s="18" t="s">
        <v>217</v>
      </c>
      <c r="H68" s="31" t="s">
        <v>57</v>
      </c>
      <c r="I68" s="12">
        <v>2</v>
      </c>
      <c r="J68" s="12" t="s">
        <v>42</v>
      </c>
      <c r="K68" s="12"/>
      <c r="L68" s="12" t="s">
        <v>62</v>
      </c>
      <c r="M68" s="16" t="s">
        <v>58</v>
      </c>
      <c r="N68" s="12" t="s">
        <v>78</v>
      </c>
      <c r="O68" s="12"/>
      <c r="P68" s="18">
        <v>45413</v>
      </c>
      <c r="Q68" s="19"/>
      <c r="R68" s="19">
        <v>7007213</v>
      </c>
      <c r="S68" s="19">
        <v>7007213</v>
      </c>
      <c r="T68" s="12" t="s">
        <v>60</v>
      </c>
      <c r="U68" s="12" t="s">
        <v>98</v>
      </c>
      <c r="V68" s="18">
        <v>45524</v>
      </c>
      <c r="W68" s="18">
        <v>45674</v>
      </c>
      <c r="X68" s="19"/>
      <c r="Y68" s="19">
        <v>7007213</v>
      </c>
      <c r="Z68" s="19">
        <v>7007213</v>
      </c>
      <c r="AA68" s="12" t="s">
        <v>43</v>
      </c>
      <c r="AB68" s="12"/>
      <c r="AC68" s="12"/>
      <c r="AD68" s="12"/>
      <c r="AE68" s="12"/>
      <c r="AF68" s="12"/>
      <c r="AG68" s="12"/>
      <c r="AH68" s="26"/>
      <c r="AI68" s="12" t="s">
        <v>61</v>
      </c>
      <c r="AJ68" s="16" t="s">
        <v>104</v>
      </c>
      <c r="AK68" s="12" t="s">
        <v>58</v>
      </c>
      <c r="AL68" s="12"/>
      <c r="AM68" s="12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</row>
    <row r="69" spans="1:207" ht="11.25" customHeight="1" x14ac:dyDescent="0.25">
      <c r="A69" s="25"/>
      <c r="B69" s="12" t="s">
        <v>40</v>
      </c>
      <c r="C69" s="12" t="s">
        <v>40</v>
      </c>
      <c r="D69" s="12" t="s">
        <v>41</v>
      </c>
      <c r="E69" s="18">
        <v>45520</v>
      </c>
      <c r="F69" s="18">
        <v>45520</v>
      </c>
      <c r="G69" s="18" t="s">
        <v>217</v>
      </c>
      <c r="H69" s="31" t="s">
        <v>57</v>
      </c>
      <c r="I69" s="12">
        <v>2</v>
      </c>
      <c r="J69" s="12" t="s">
        <v>42</v>
      </c>
      <c r="K69" s="12"/>
      <c r="L69" s="17" t="s">
        <v>85</v>
      </c>
      <c r="M69" s="16" t="s">
        <v>58</v>
      </c>
      <c r="N69" s="12" t="s">
        <v>91</v>
      </c>
      <c r="O69" s="12"/>
      <c r="P69" s="18">
        <v>45413</v>
      </c>
      <c r="Q69" s="19"/>
      <c r="R69" s="19">
        <v>3789920</v>
      </c>
      <c r="S69" s="19">
        <v>3789920</v>
      </c>
      <c r="T69" s="16" t="s">
        <v>60</v>
      </c>
      <c r="U69" s="12" t="s">
        <v>99</v>
      </c>
      <c r="V69" s="18">
        <v>45524</v>
      </c>
      <c r="W69" s="18">
        <v>45674</v>
      </c>
      <c r="X69" s="19"/>
      <c r="Y69" s="19">
        <v>3789920</v>
      </c>
      <c r="Z69" s="19">
        <v>3789920</v>
      </c>
      <c r="AA69" s="25" t="s">
        <v>43</v>
      </c>
      <c r="AB69" s="12"/>
      <c r="AC69" s="12"/>
      <c r="AD69" s="12"/>
      <c r="AE69" s="12"/>
      <c r="AF69" s="12"/>
      <c r="AG69" s="16"/>
      <c r="AH69" s="26"/>
      <c r="AI69" s="12" t="s">
        <v>61</v>
      </c>
      <c r="AJ69" s="16" t="s">
        <v>104</v>
      </c>
      <c r="AK69" s="12" t="s">
        <v>58</v>
      </c>
      <c r="AL69" s="12"/>
      <c r="AM69" s="12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</row>
    <row r="70" spans="1:207" ht="11.25" customHeight="1" x14ac:dyDescent="0.25">
      <c r="A70" s="25"/>
      <c r="B70" s="12" t="s">
        <v>41</v>
      </c>
      <c r="C70" s="12" t="s">
        <v>41</v>
      </c>
      <c r="D70" s="12" t="s">
        <v>41</v>
      </c>
      <c r="E70" s="18">
        <v>45520</v>
      </c>
      <c r="F70" s="18">
        <v>45520</v>
      </c>
      <c r="G70" s="18" t="s">
        <v>217</v>
      </c>
      <c r="H70" s="31" t="s">
        <v>57</v>
      </c>
      <c r="I70" s="12">
        <v>2</v>
      </c>
      <c r="J70" s="12" t="s">
        <v>42</v>
      </c>
      <c r="K70" s="12"/>
      <c r="L70" s="16" t="s">
        <v>79</v>
      </c>
      <c r="M70" s="16" t="s">
        <v>58</v>
      </c>
      <c r="N70" s="12" t="s">
        <v>80</v>
      </c>
      <c r="O70" s="12"/>
      <c r="P70" s="18">
        <v>45413</v>
      </c>
      <c r="Q70" s="19"/>
      <c r="R70" s="19">
        <v>26984750</v>
      </c>
      <c r="S70" s="19">
        <v>26984750</v>
      </c>
      <c r="T70" s="12" t="s">
        <v>60</v>
      </c>
      <c r="U70" s="12" t="s">
        <v>100</v>
      </c>
      <c r="V70" s="18">
        <v>45524</v>
      </c>
      <c r="W70" s="18">
        <v>45674</v>
      </c>
      <c r="X70" s="19"/>
      <c r="Y70" s="19">
        <v>26984750</v>
      </c>
      <c r="Z70" s="19">
        <v>26984750</v>
      </c>
      <c r="AA70" s="12" t="s">
        <v>43</v>
      </c>
      <c r="AB70" s="12"/>
      <c r="AC70" s="12"/>
      <c r="AD70" s="12"/>
      <c r="AE70" s="12"/>
      <c r="AF70" s="12"/>
      <c r="AG70" s="16"/>
      <c r="AH70" s="26"/>
      <c r="AI70" s="12" t="s">
        <v>61</v>
      </c>
      <c r="AJ70" s="16" t="s">
        <v>104</v>
      </c>
      <c r="AK70" s="12" t="s">
        <v>58</v>
      </c>
      <c r="AL70" s="12"/>
      <c r="AM70" s="12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</row>
    <row r="71" spans="1:207" ht="11.25" customHeight="1" x14ac:dyDescent="0.25">
      <c r="A71" s="25"/>
      <c r="B71" s="12" t="s">
        <v>40</v>
      </c>
      <c r="C71" s="12" t="s">
        <v>54</v>
      </c>
      <c r="D71" s="12" t="s">
        <v>41</v>
      </c>
      <c r="E71" s="18">
        <v>45520</v>
      </c>
      <c r="F71" s="18">
        <v>45520</v>
      </c>
      <c r="G71" s="18" t="s">
        <v>217</v>
      </c>
      <c r="H71" s="31" t="s">
        <v>57</v>
      </c>
      <c r="I71" s="12">
        <v>2</v>
      </c>
      <c r="J71" s="12" t="s">
        <v>42</v>
      </c>
      <c r="K71" s="12"/>
      <c r="L71" s="17" t="s">
        <v>50</v>
      </c>
      <c r="M71" s="16" t="s">
        <v>58</v>
      </c>
      <c r="N71" s="12" t="s">
        <v>59</v>
      </c>
      <c r="O71" s="12"/>
      <c r="P71" s="18">
        <v>45413</v>
      </c>
      <c r="Q71" s="19"/>
      <c r="R71" s="19">
        <v>59431002.479999997</v>
      </c>
      <c r="S71" s="19">
        <v>59431002.479999997</v>
      </c>
      <c r="T71" s="16" t="s">
        <v>60</v>
      </c>
      <c r="U71" s="12" t="s">
        <v>101</v>
      </c>
      <c r="V71" s="18">
        <v>45524</v>
      </c>
      <c r="W71" s="18">
        <v>45674</v>
      </c>
      <c r="X71" s="19"/>
      <c r="Y71" s="19">
        <v>59431002.479999997</v>
      </c>
      <c r="Z71" s="19">
        <v>59431002.479999997</v>
      </c>
      <c r="AA71" s="25" t="s">
        <v>43</v>
      </c>
      <c r="AB71" s="12"/>
      <c r="AC71" s="12"/>
      <c r="AD71" s="12"/>
      <c r="AE71" s="12"/>
      <c r="AF71" s="12"/>
      <c r="AG71" s="16"/>
      <c r="AH71" s="26"/>
      <c r="AI71" s="12" t="s">
        <v>61</v>
      </c>
      <c r="AJ71" s="16" t="s">
        <v>104</v>
      </c>
      <c r="AK71" s="12" t="s">
        <v>58</v>
      </c>
      <c r="AL71" s="12"/>
      <c r="AM71" s="12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</row>
    <row r="72" spans="1:207" ht="11.25" customHeight="1" x14ac:dyDescent="0.25">
      <c r="A72" s="25"/>
      <c r="B72" s="12" t="s">
        <v>40</v>
      </c>
      <c r="C72" s="12" t="s">
        <v>40</v>
      </c>
      <c r="D72" s="12" t="s">
        <v>41</v>
      </c>
      <c r="E72" s="18">
        <v>45520</v>
      </c>
      <c r="F72" s="18">
        <v>45520</v>
      </c>
      <c r="G72" s="18" t="s">
        <v>217</v>
      </c>
      <c r="H72" s="31" t="s">
        <v>57</v>
      </c>
      <c r="I72" s="12">
        <v>2</v>
      </c>
      <c r="J72" s="12" t="s">
        <v>42</v>
      </c>
      <c r="K72" s="12"/>
      <c r="L72" s="16" t="s">
        <v>49</v>
      </c>
      <c r="M72" s="16" t="s">
        <v>58</v>
      </c>
      <c r="N72" s="12" t="s">
        <v>94</v>
      </c>
      <c r="O72" s="12"/>
      <c r="P72" s="18">
        <v>45413</v>
      </c>
      <c r="Q72" s="19"/>
      <c r="R72" s="19">
        <v>13419382.49</v>
      </c>
      <c r="S72" s="19">
        <v>13419382.49</v>
      </c>
      <c r="T72" s="16" t="s">
        <v>60</v>
      </c>
      <c r="U72" s="12" t="s">
        <v>102</v>
      </c>
      <c r="V72" s="18">
        <v>45524</v>
      </c>
      <c r="W72" s="18">
        <v>45674</v>
      </c>
      <c r="X72" s="19"/>
      <c r="Y72" s="19">
        <v>13419382.49</v>
      </c>
      <c r="Z72" s="19">
        <v>13419382.49</v>
      </c>
      <c r="AA72" s="25" t="s">
        <v>43</v>
      </c>
      <c r="AB72" s="12"/>
      <c r="AC72" s="12"/>
      <c r="AD72" s="12"/>
      <c r="AE72" s="12"/>
      <c r="AF72" s="12"/>
      <c r="AG72" s="16"/>
      <c r="AH72" s="26"/>
      <c r="AI72" s="12" t="s">
        <v>61</v>
      </c>
      <c r="AJ72" s="16" t="s">
        <v>104</v>
      </c>
      <c r="AK72" s="12" t="s">
        <v>58</v>
      </c>
      <c r="AL72" s="12"/>
      <c r="AM72" s="12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</row>
    <row r="73" spans="1:207" ht="15" customHeight="1" x14ac:dyDescent="0.25">
      <c r="A73" s="27"/>
      <c r="B73" s="12" t="s">
        <v>40</v>
      </c>
      <c r="C73" s="12" t="s">
        <v>40</v>
      </c>
      <c r="D73" s="12" t="s">
        <v>41</v>
      </c>
      <c r="E73" s="18">
        <v>45597</v>
      </c>
      <c r="F73" s="18">
        <v>45597</v>
      </c>
      <c r="G73" s="18" t="s">
        <v>217</v>
      </c>
      <c r="H73" s="31" t="s">
        <v>57</v>
      </c>
      <c r="I73" s="12">
        <v>2</v>
      </c>
      <c r="J73" s="12" t="s">
        <v>42</v>
      </c>
      <c r="K73" s="12"/>
      <c r="L73" s="17" t="s">
        <v>88</v>
      </c>
      <c r="M73" s="16" t="s">
        <v>58</v>
      </c>
      <c r="N73" s="12" t="s">
        <v>89</v>
      </c>
      <c r="O73" s="12"/>
      <c r="P73" s="18">
        <v>45474</v>
      </c>
      <c r="Q73" s="19"/>
      <c r="R73" s="19">
        <v>2772364.06</v>
      </c>
      <c r="S73" s="19">
        <v>2772364.06</v>
      </c>
      <c r="T73" s="16" t="s">
        <v>60</v>
      </c>
      <c r="U73" s="12" t="s">
        <v>109</v>
      </c>
      <c r="V73" s="18">
        <v>45601</v>
      </c>
      <c r="W73" s="18">
        <v>45785</v>
      </c>
      <c r="X73" s="19"/>
      <c r="Y73" s="19">
        <v>2772364.06</v>
      </c>
      <c r="Z73" s="19">
        <v>2772364.06</v>
      </c>
      <c r="AA73" s="25" t="s">
        <v>43</v>
      </c>
      <c r="AB73" s="12"/>
      <c r="AC73" s="12"/>
      <c r="AD73" s="12"/>
      <c r="AE73" s="12"/>
      <c r="AF73" s="12"/>
      <c r="AG73" s="16"/>
      <c r="AH73" s="26"/>
      <c r="AI73" s="12" t="s">
        <v>61</v>
      </c>
      <c r="AJ73" s="16" t="s">
        <v>112</v>
      </c>
      <c r="AK73" s="12" t="s">
        <v>58</v>
      </c>
      <c r="AL73" s="12"/>
      <c r="AM73" s="12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</row>
    <row r="74" spans="1:207" ht="15" customHeight="1" x14ac:dyDescent="0.25">
      <c r="A74" s="27"/>
      <c r="B74" s="12" t="s">
        <v>40</v>
      </c>
      <c r="C74" s="12" t="s">
        <v>54</v>
      </c>
      <c r="D74" s="12" t="s">
        <v>41</v>
      </c>
      <c r="E74" s="18">
        <v>45597</v>
      </c>
      <c r="F74" s="18">
        <v>45597</v>
      </c>
      <c r="G74" s="18" t="s">
        <v>217</v>
      </c>
      <c r="H74" s="31" t="s">
        <v>57</v>
      </c>
      <c r="I74" s="12">
        <v>2</v>
      </c>
      <c r="J74" s="12" t="s">
        <v>42</v>
      </c>
      <c r="K74" s="12"/>
      <c r="L74" s="16" t="s">
        <v>63</v>
      </c>
      <c r="M74" s="16" t="s">
        <v>58</v>
      </c>
      <c r="N74" s="12" t="s">
        <v>77</v>
      </c>
      <c r="O74" s="12"/>
      <c r="P74" s="18">
        <v>45474</v>
      </c>
      <c r="Q74" s="19"/>
      <c r="R74" s="19">
        <v>33519481</v>
      </c>
      <c r="S74" s="19">
        <v>33519481</v>
      </c>
      <c r="T74" s="12" t="s">
        <v>60</v>
      </c>
      <c r="U74" s="12" t="s">
        <v>109</v>
      </c>
      <c r="V74" s="18">
        <v>45601</v>
      </c>
      <c r="W74" s="18">
        <v>45785</v>
      </c>
      <c r="X74" s="19"/>
      <c r="Y74" s="19">
        <v>33519481</v>
      </c>
      <c r="Z74" s="19">
        <v>33519481</v>
      </c>
      <c r="AA74" s="12" t="s">
        <v>43</v>
      </c>
      <c r="AB74" s="12"/>
      <c r="AC74" s="12"/>
      <c r="AD74" s="12"/>
      <c r="AE74" s="12"/>
      <c r="AF74" s="12"/>
      <c r="AG74" s="16"/>
      <c r="AH74" s="26"/>
      <c r="AI74" s="12" t="s">
        <v>61</v>
      </c>
      <c r="AJ74" s="16" t="s">
        <v>112</v>
      </c>
      <c r="AK74" s="12" t="s">
        <v>58</v>
      </c>
      <c r="AL74" s="12"/>
      <c r="AM74" s="12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</row>
    <row r="75" spans="1:207" ht="11.25" customHeight="1" x14ac:dyDescent="0.25">
      <c r="A75" s="25"/>
      <c r="B75" s="12" t="s">
        <v>41</v>
      </c>
      <c r="C75" s="12" t="s">
        <v>52</v>
      </c>
      <c r="D75" s="12" t="s">
        <v>41</v>
      </c>
      <c r="E75" s="18">
        <v>45597</v>
      </c>
      <c r="F75" s="18">
        <v>45597</v>
      </c>
      <c r="G75" s="18" t="s">
        <v>217</v>
      </c>
      <c r="H75" s="31" t="s">
        <v>57</v>
      </c>
      <c r="I75" s="12">
        <v>2</v>
      </c>
      <c r="J75" s="12" t="s">
        <v>42</v>
      </c>
      <c r="K75" s="12"/>
      <c r="L75" s="16" t="s">
        <v>79</v>
      </c>
      <c r="M75" s="16" t="s">
        <v>58</v>
      </c>
      <c r="N75" s="12" t="s">
        <v>80</v>
      </c>
      <c r="O75" s="12"/>
      <c r="P75" s="18">
        <v>45474</v>
      </c>
      <c r="Q75" s="19"/>
      <c r="R75" s="19">
        <v>11946800</v>
      </c>
      <c r="S75" s="19">
        <v>11946800</v>
      </c>
      <c r="T75" s="12" t="s">
        <v>60</v>
      </c>
      <c r="U75" s="12" t="s">
        <v>109</v>
      </c>
      <c r="V75" s="18">
        <v>45601</v>
      </c>
      <c r="W75" s="18">
        <v>45785</v>
      </c>
      <c r="X75" s="19"/>
      <c r="Y75" s="19">
        <v>11946800</v>
      </c>
      <c r="Z75" s="19">
        <v>11946800</v>
      </c>
      <c r="AA75" s="12" t="s">
        <v>43</v>
      </c>
      <c r="AB75" s="12"/>
      <c r="AC75" s="12"/>
      <c r="AD75" s="12"/>
      <c r="AE75" s="12"/>
      <c r="AF75" s="12"/>
      <c r="AG75" s="16"/>
      <c r="AH75" s="26"/>
      <c r="AI75" s="12" t="s">
        <v>61</v>
      </c>
      <c r="AJ75" s="16" t="s">
        <v>112</v>
      </c>
      <c r="AK75" s="12" t="s">
        <v>58</v>
      </c>
      <c r="AL75" s="12"/>
      <c r="AM75" s="12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</row>
    <row r="76" spans="1:207" ht="15" customHeight="1" x14ac:dyDescent="0.25">
      <c r="A76" s="27"/>
      <c r="B76" s="12" t="s">
        <v>40</v>
      </c>
      <c r="C76" s="12" t="s">
        <v>40</v>
      </c>
      <c r="D76" s="12" t="s">
        <v>41</v>
      </c>
      <c r="E76" s="18">
        <v>45597</v>
      </c>
      <c r="F76" s="18">
        <v>45597</v>
      </c>
      <c r="G76" s="18" t="s">
        <v>217</v>
      </c>
      <c r="H76" s="31" t="s">
        <v>57</v>
      </c>
      <c r="I76" s="12">
        <v>2</v>
      </c>
      <c r="J76" s="12" t="s">
        <v>42</v>
      </c>
      <c r="K76" s="12"/>
      <c r="L76" s="17" t="s">
        <v>86</v>
      </c>
      <c r="M76" s="16" t="s">
        <v>58</v>
      </c>
      <c r="N76" s="12" t="s">
        <v>87</v>
      </c>
      <c r="O76" s="12"/>
      <c r="P76" s="18">
        <v>45474</v>
      </c>
      <c r="Q76" s="19"/>
      <c r="R76" s="19">
        <v>4515223.3499999996</v>
      </c>
      <c r="S76" s="19">
        <v>4515223.3499999996</v>
      </c>
      <c r="T76" s="16" t="s">
        <v>60</v>
      </c>
      <c r="U76" s="12" t="s">
        <v>109</v>
      </c>
      <c r="V76" s="18">
        <v>45601</v>
      </c>
      <c r="W76" s="18">
        <v>45785</v>
      </c>
      <c r="X76" s="19"/>
      <c r="Y76" s="19">
        <v>4515223.3499999996</v>
      </c>
      <c r="Z76" s="19">
        <v>4515223.3499999996</v>
      </c>
      <c r="AA76" s="25" t="s">
        <v>43</v>
      </c>
      <c r="AB76" s="12"/>
      <c r="AC76" s="12"/>
      <c r="AD76" s="12"/>
      <c r="AE76" s="12"/>
      <c r="AF76" s="12"/>
      <c r="AG76" s="16"/>
      <c r="AH76" s="26"/>
      <c r="AI76" s="12" t="s">
        <v>61</v>
      </c>
      <c r="AJ76" s="16" t="s">
        <v>112</v>
      </c>
      <c r="AK76" s="12" t="s">
        <v>58</v>
      </c>
      <c r="AL76" s="12"/>
      <c r="AM76" s="12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</row>
    <row r="77" spans="1:207" ht="15" customHeight="1" x14ac:dyDescent="0.25">
      <c r="A77" s="27"/>
      <c r="B77" s="12" t="s">
        <v>40</v>
      </c>
      <c r="C77" s="12" t="s">
        <v>40</v>
      </c>
      <c r="D77" s="12" t="s">
        <v>41</v>
      </c>
      <c r="E77" s="18">
        <v>45597</v>
      </c>
      <c r="F77" s="18">
        <v>45597</v>
      </c>
      <c r="G77" s="18" t="s">
        <v>217</v>
      </c>
      <c r="H77" s="31" t="s">
        <v>57</v>
      </c>
      <c r="I77" s="12">
        <v>2</v>
      </c>
      <c r="J77" s="12" t="s">
        <v>42</v>
      </c>
      <c r="K77" s="12"/>
      <c r="L77" s="17" t="s">
        <v>85</v>
      </c>
      <c r="M77" s="16" t="s">
        <v>58</v>
      </c>
      <c r="N77" s="12" t="s">
        <v>91</v>
      </c>
      <c r="O77" s="12"/>
      <c r="P77" s="18">
        <v>45474</v>
      </c>
      <c r="Q77" s="19"/>
      <c r="R77" s="19">
        <v>7484811</v>
      </c>
      <c r="S77" s="19">
        <v>7484811</v>
      </c>
      <c r="T77" s="16" t="s">
        <v>60</v>
      </c>
      <c r="U77" s="12" t="s">
        <v>109</v>
      </c>
      <c r="V77" s="18">
        <v>45601</v>
      </c>
      <c r="W77" s="18">
        <v>45785</v>
      </c>
      <c r="X77" s="19"/>
      <c r="Y77" s="19">
        <v>7484811</v>
      </c>
      <c r="Z77" s="19">
        <v>7484811</v>
      </c>
      <c r="AA77" s="25" t="s">
        <v>43</v>
      </c>
      <c r="AB77" s="12"/>
      <c r="AC77" s="12"/>
      <c r="AD77" s="12"/>
      <c r="AE77" s="12"/>
      <c r="AF77" s="12"/>
      <c r="AG77" s="16"/>
      <c r="AH77" s="26"/>
      <c r="AI77" s="12" t="s">
        <v>61</v>
      </c>
      <c r="AJ77" s="16" t="s">
        <v>112</v>
      </c>
      <c r="AK77" s="12" t="s">
        <v>58</v>
      </c>
      <c r="AL77" s="12"/>
      <c r="AM77" s="12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</row>
    <row r="78" spans="1:207" ht="15" customHeight="1" x14ac:dyDescent="0.25">
      <c r="A78" s="27"/>
      <c r="B78" s="12" t="s">
        <v>40</v>
      </c>
      <c r="C78" s="12" t="s">
        <v>54</v>
      </c>
      <c r="D78" s="12" t="s">
        <v>41</v>
      </c>
      <c r="E78" s="18">
        <v>45597</v>
      </c>
      <c r="F78" s="18">
        <v>45597</v>
      </c>
      <c r="G78" s="18" t="s">
        <v>217</v>
      </c>
      <c r="H78" s="31" t="s">
        <v>57</v>
      </c>
      <c r="I78" s="12">
        <v>2</v>
      </c>
      <c r="J78" s="12" t="s">
        <v>42</v>
      </c>
      <c r="K78" s="12"/>
      <c r="L78" s="12" t="s">
        <v>62</v>
      </c>
      <c r="M78" s="16" t="s">
        <v>58</v>
      </c>
      <c r="N78" s="12" t="s">
        <v>78</v>
      </c>
      <c r="O78" s="12"/>
      <c r="P78" s="18">
        <v>45474</v>
      </c>
      <c r="Q78" s="19"/>
      <c r="R78" s="19">
        <v>6927713.2800000003</v>
      </c>
      <c r="S78" s="19">
        <v>6927713.2800000003</v>
      </c>
      <c r="T78" s="12" t="s">
        <v>60</v>
      </c>
      <c r="U78" s="12" t="s">
        <v>109</v>
      </c>
      <c r="V78" s="18">
        <v>45601</v>
      </c>
      <c r="W78" s="18">
        <v>45785</v>
      </c>
      <c r="X78" s="19"/>
      <c r="Y78" s="19">
        <v>6927713.2800000003</v>
      </c>
      <c r="Z78" s="19">
        <v>6927713.2800000003</v>
      </c>
      <c r="AA78" s="12" t="s">
        <v>43</v>
      </c>
      <c r="AB78" s="12"/>
      <c r="AC78" s="12"/>
      <c r="AD78" s="12"/>
      <c r="AE78" s="12"/>
      <c r="AF78" s="12"/>
      <c r="AG78" s="12"/>
      <c r="AH78" s="26"/>
      <c r="AI78" s="12" t="s">
        <v>61</v>
      </c>
      <c r="AJ78" s="16" t="s">
        <v>112</v>
      </c>
      <c r="AK78" s="12" t="s">
        <v>58</v>
      </c>
      <c r="AL78" s="12"/>
      <c r="AM78" s="12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</row>
    <row r="79" spans="1:207" ht="11.25" customHeight="1" x14ac:dyDescent="0.25">
      <c r="A79" s="25"/>
      <c r="B79" s="12" t="s">
        <v>40</v>
      </c>
      <c r="C79" s="12" t="s">
        <v>40</v>
      </c>
      <c r="D79" s="12" t="s">
        <v>41</v>
      </c>
      <c r="E79" s="18">
        <v>45597</v>
      </c>
      <c r="F79" s="18">
        <v>45597</v>
      </c>
      <c r="G79" s="18" t="s">
        <v>217</v>
      </c>
      <c r="H79" s="31" t="s">
        <v>57</v>
      </c>
      <c r="I79" s="12">
        <v>2</v>
      </c>
      <c r="J79" s="12" t="s">
        <v>42</v>
      </c>
      <c r="K79" s="12"/>
      <c r="L79" s="16" t="s">
        <v>49</v>
      </c>
      <c r="M79" s="16" t="s">
        <v>58</v>
      </c>
      <c r="N79" s="12" t="s">
        <v>94</v>
      </c>
      <c r="O79" s="12"/>
      <c r="P79" s="18">
        <v>45474</v>
      </c>
      <c r="Q79" s="19"/>
      <c r="R79" s="19">
        <v>6896428.5300000003</v>
      </c>
      <c r="S79" s="19">
        <v>6896428.5300000003</v>
      </c>
      <c r="T79" s="16" t="s">
        <v>60</v>
      </c>
      <c r="U79" s="12" t="s">
        <v>109</v>
      </c>
      <c r="V79" s="18">
        <v>45601</v>
      </c>
      <c r="W79" s="18">
        <v>45785</v>
      </c>
      <c r="X79" s="19"/>
      <c r="Y79" s="19">
        <v>6896428.5300000003</v>
      </c>
      <c r="Z79" s="19">
        <v>6896428.5300000003</v>
      </c>
      <c r="AA79" s="25" t="s">
        <v>43</v>
      </c>
      <c r="AB79" s="12"/>
      <c r="AC79" s="12"/>
      <c r="AD79" s="12"/>
      <c r="AE79" s="12"/>
      <c r="AF79" s="12"/>
      <c r="AG79" s="16"/>
      <c r="AH79" s="26"/>
      <c r="AI79" s="12" t="s">
        <v>61</v>
      </c>
      <c r="AJ79" s="16" t="s">
        <v>112</v>
      </c>
      <c r="AK79" s="12" t="s">
        <v>58</v>
      </c>
      <c r="AL79" s="12"/>
      <c r="AM79" s="12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</row>
    <row r="80" spans="1:207" ht="11.25" customHeight="1" x14ac:dyDescent="0.25">
      <c r="A80" s="25"/>
      <c r="B80" s="12" t="s">
        <v>40</v>
      </c>
      <c r="C80" s="12" t="s">
        <v>54</v>
      </c>
      <c r="D80" s="12" t="s">
        <v>41</v>
      </c>
      <c r="E80" s="18">
        <v>45597</v>
      </c>
      <c r="F80" s="18">
        <v>45597</v>
      </c>
      <c r="G80" s="18" t="s">
        <v>217</v>
      </c>
      <c r="H80" s="31" t="s">
        <v>57</v>
      </c>
      <c r="I80" s="12">
        <v>2</v>
      </c>
      <c r="J80" s="12" t="s">
        <v>42</v>
      </c>
      <c r="K80" s="12"/>
      <c r="L80" s="17" t="s">
        <v>50</v>
      </c>
      <c r="M80" s="16" t="s">
        <v>58</v>
      </c>
      <c r="N80" s="12" t="s">
        <v>59</v>
      </c>
      <c r="O80" s="12"/>
      <c r="P80" s="18">
        <v>45474</v>
      </c>
      <c r="Q80" s="19"/>
      <c r="R80" s="19">
        <v>66896460</v>
      </c>
      <c r="S80" s="19">
        <v>66896460</v>
      </c>
      <c r="T80" s="16" t="s">
        <v>60</v>
      </c>
      <c r="U80" s="12" t="s">
        <v>109</v>
      </c>
      <c r="V80" s="18">
        <v>45601</v>
      </c>
      <c r="W80" s="18">
        <v>45785</v>
      </c>
      <c r="X80" s="19"/>
      <c r="Y80" s="19">
        <v>66896460</v>
      </c>
      <c r="Z80" s="19">
        <v>66896460</v>
      </c>
      <c r="AA80" s="25" t="s">
        <v>43</v>
      </c>
      <c r="AB80" s="12"/>
      <c r="AC80" s="12"/>
      <c r="AD80" s="12"/>
      <c r="AE80" s="12"/>
      <c r="AF80" s="12"/>
      <c r="AG80" s="16"/>
      <c r="AH80" s="26"/>
      <c r="AI80" s="12" t="s">
        <v>61</v>
      </c>
      <c r="AJ80" s="16" t="s">
        <v>112</v>
      </c>
      <c r="AK80" s="12" t="s">
        <v>58</v>
      </c>
      <c r="AL80" s="12"/>
      <c r="AM80" s="12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</row>
    <row r="81" spans="1:207" ht="11.25" customHeight="1" x14ac:dyDescent="0.25">
      <c r="A81" s="25"/>
      <c r="B81" s="12" t="s">
        <v>40</v>
      </c>
      <c r="C81" s="12" t="s">
        <v>40</v>
      </c>
      <c r="D81" s="12" t="s">
        <v>41</v>
      </c>
      <c r="E81" s="18">
        <v>45597</v>
      </c>
      <c r="F81" s="18">
        <v>45597</v>
      </c>
      <c r="G81" s="18" t="s">
        <v>217</v>
      </c>
      <c r="H81" s="31" t="s">
        <v>57</v>
      </c>
      <c r="I81" s="12">
        <v>2</v>
      </c>
      <c r="J81" s="12" t="s">
        <v>42</v>
      </c>
      <c r="K81" s="12"/>
      <c r="L81" s="16" t="s">
        <v>65</v>
      </c>
      <c r="M81" s="16" t="s">
        <v>58</v>
      </c>
      <c r="N81" s="12" t="s">
        <v>90</v>
      </c>
      <c r="O81" s="12"/>
      <c r="P81" s="18">
        <v>45474</v>
      </c>
      <c r="Q81" s="19"/>
      <c r="R81" s="19">
        <v>745000</v>
      </c>
      <c r="S81" s="19">
        <v>745000</v>
      </c>
      <c r="T81" s="12" t="s">
        <v>60</v>
      </c>
      <c r="U81" s="12" t="s">
        <v>109</v>
      </c>
      <c r="V81" s="18">
        <v>45601</v>
      </c>
      <c r="W81" s="18">
        <v>45785</v>
      </c>
      <c r="X81" s="19"/>
      <c r="Y81" s="19">
        <v>745000</v>
      </c>
      <c r="Z81" s="19">
        <v>745000</v>
      </c>
      <c r="AA81" s="12" t="s">
        <v>43</v>
      </c>
      <c r="AB81" s="12"/>
      <c r="AC81" s="12"/>
      <c r="AD81" s="12"/>
      <c r="AE81" s="12"/>
      <c r="AF81" s="12"/>
      <c r="AG81" s="16"/>
      <c r="AH81" s="26"/>
      <c r="AI81" s="12" t="s">
        <v>61</v>
      </c>
      <c r="AJ81" s="16" t="s">
        <v>112</v>
      </c>
      <c r="AK81" s="12" t="s">
        <v>58</v>
      </c>
      <c r="AL81" s="12"/>
      <c r="AM81" s="12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</row>
    <row r="82" spans="1:207" ht="11.25" customHeight="1" x14ac:dyDescent="0.25">
      <c r="A82" s="25"/>
      <c r="B82" s="12" t="s">
        <v>40</v>
      </c>
      <c r="C82" s="12" t="s">
        <v>40</v>
      </c>
      <c r="D82" s="12" t="s">
        <v>41</v>
      </c>
      <c r="E82" s="18">
        <v>45597</v>
      </c>
      <c r="F82" s="18">
        <v>45597</v>
      </c>
      <c r="G82" s="18" t="s">
        <v>217</v>
      </c>
      <c r="H82" s="31" t="s">
        <v>57</v>
      </c>
      <c r="I82" s="12">
        <v>2</v>
      </c>
      <c r="J82" s="12" t="s">
        <v>42</v>
      </c>
      <c r="K82" s="12"/>
      <c r="L82" s="17" t="s">
        <v>85</v>
      </c>
      <c r="M82" s="16" t="s">
        <v>58</v>
      </c>
      <c r="N82" s="12" t="s">
        <v>81</v>
      </c>
      <c r="O82" s="12"/>
      <c r="P82" s="18">
        <v>45474</v>
      </c>
      <c r="Q82" s="19"/>
      <c r="R82" s="19">
        <v>2000000</v>
      </c>
      <c r="S82" s="19">
        <v>2000000</v>
      </c>
      <c r="T82" s="16" t="s">
        <v>60</v>
      </c>
      <c r="U82" s="12" t="s">
        <v>109</v>
      </c>
      <c r="V82" s="18">
        <v>45601</v>
      </c>
      <c r="W82" s="18">
        <v>45785</v>
      </c>
      <c r="X82" s="19"/>
      <c r="Y82" s="19">
        <v>2000000</v>
      </c>
      <c r="Z82" s="19">
        <v>2000000</v>
      </c>
      <c r="AA82" s="25" t="s">
        <v>43</v>
      </c>
      <c r="AB82" s="12"/>
      <c r="AC82" s="12"/>
      <c r="AD82" s="12"/>
      <c r="AE82" s="12"/>
      <c r="AF82" s="12"/>
      <c r="AG82" s="16"/>
      <c r="AH82" s="26"/>
      <c r="AI82" s="12" t="s">
        <v>61</v>
      </c>
      <c r="AJ82" s="16" t="s">
        <v>112</v>
      </c>
      <c r="AK82" s="12" t="s">
        <v>58</v>
      </c>
      <c r="AL82" s="12"/>
      <c r="AM82" s="12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</row>
    <row r="83" spans="1:207" ht="11.25" customHeight="1" x14ac:dyDescent="0.25">
      <c r="A83" s="25"/>
      <c r="B83" s="12" t="s">
        <v>40</v>
      </c>
      <c r="C83" s="12" t="s">
        <v>40</v>
      </c>
      <c r="D83" s="12" t="s">
        <v>41</v>
      </c>
      <c r="E83" s="18">
        <v>45597</v>
      </c>
      <c r="F83" s="18">
        <v>45597</v>
      </c>
      <c r="G83" s="18" t="s">
        <v>217</v>
      </c>
      <c r="H83" s="31" t="s">
        <v>57</v>
      </c>
      <c r="I83" s="12">
        <v>2</v>
      </c>
      <c r="J83" s="12" t="s">
        <v>42</v>
      </c>
      <c r="K83" s="12"/>
      <c r="L83" s="17" t="s">
        <v>88</v>
      </c>
      <c r="M83" s="16" t="s">
        <v>58</v>
      </c>
      <c r="N83" s="12" t="s">
        <v>92</v>
      </c>
      <c r="O83" s="12"/>
      <c r="P83" s="18">
        <v>45474</v>
      </c>
      <c r="Q83" s="19"/>
      <c r="R83" s="19">
        <v>650000</v>
      </c>
      <c r="S83" s="19">
        <v>650000</v>
      </c>
      <c r="T83" s="16" t="s">
        <v>60</v>
      </c>
      <c r="U83" s="12" t="s">
        <v>109</v>
      </c>
      <c r="V83" s="18">
        <v>45601</v>
      </c>
      <c r="W83" s="18">
        <v>45785</v>
      </c>
      <c r="X83" s="19"/>
      <c r="Y83" s="19">
        <v>650000</v>
      </c>
      <c r="Z83" s="19">
        <v>650000</v>
      </c>
      <c r="AA83" s="25" t="s">
        <v>43</v>
      </c>
      <c r="AB83" s="12"/>
      <c r="AC83" s="12"/>
      <c r="AD83" s="12"/>
      <c r="AE83" s="12"/>
      <c r="AF83" s="12"/>
      <c r="AG83" s="16"/>
      <c r="AH83" s="26"/>
      <c r="AI83" s="12" t="s">
        <v>61</v>
      </c>
      <c r="AJ83" s="16" t="s">
        <v>112</v>
      </c>
      <c r="AK83" s="12" t="s">
        <v>58</v>
      </c>
      <c r="AL83" s="12"/>
      <c r="AM83" s="12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</row>
    <row r="84" spans="1:207" ht="15" customHeight="1" x14ac:dyDescent="0.25">
      <c r="A84" s="27"/>
      <c r="B84" s="12" t="s">
        <v>40</v>
      </c>
      <c r="C84" s="12" t="s">
        <v>54</v>
      </c>
      <c r="D84" s="12" t="s">
        <v>41</v>
      </c>
      <c r="E84" s="18">
        <v>45597</v>
      </c>
      <c r="F84" s="18">
        <v>45597</v>
      </c>
      <c r="G84" s="18" t="s">
        <v>217</v>
      </c>
      <c r="H84" s="31" t="s">
        <v>57</v>
      </c>
      <c r="I84" s="12">
        <v>2</v>
      </c>
      <c r="J84" s="12" t="s">
        <v>42</v>
      </c>
      <c r="K84" s="12"/>
      <c r="L84" s="12" t="s">
        <v>62</v>
      </c>
      <c r="M84" s="16" t="s">
        <v>58</v>
      </c>
      <c r="N84" s="12" t="s">
        <v>108</v>
      </c>
      <c r="O84" s="12"/>
      <c r="P84" s="18">
        <v>45474</v>
      </c>
      <c r="Q84" s="19"/>
      <c r="R84" s="19">
        <v>1900000</v>
      </c>
      <c r="S84" s="19">
        <v>1900000</v>
      </c>
      <c r="T84" s="12" t="s">
        <v>60</v>
      </c>
      <c r="U84" s="12" t="s">
        <v>109</v>
      </c>
      <c r="V84" s="18">
        <v>45601</v>
      </c>
      <c r="W84" s="18">
        <v>45785</v>
      </c>
      <c r="X84" s="19"/>
      <c r="Y84" s="19">
        <v>1900000</v>
      </c>
      <c r="Z84" s="19">
        <v>1900000</v>
      </c>
      <c r="AA84" s="12" t="s">
        <v>43</v>
      </c>
      <c r="AB84" s="12"/>
      <c r="AC84" s="12"/>
      <c r="AD84" s="12"/>
      <c r="AE84" s="12"/>
      <c r="AF84" s="12"/>
      <c r="AG84" s="12"/>
      <c r="AH84" s="26"/>
      <c r="AI84" s="12" t="s">
        <v>61</v>
      </c>
      <c r="AJ84" s="16" t="s">
        <v>112</v>
      </c>
      <c r="AK84" s="12" t="s">
        <v>58</v>
      </c>
      <c r="AL84" s="12"/>
      <c r="AM84" s="12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</row>
    <row r="85" spans="1:207" ht="11.25" customHeight="1" x14ac:dyDescent="0.25">
      <c r="A85" s="25"/>
      <c r="B85" s="12" t="s">
        <v>40</v>
      </c>
      <c r="C85" s="12" t="s">
        <v>54</v>
      </c>
      <c r="D85" s="12" t="s">
        <v>41</v>
      </c>
      <c r="E85" s="18">
        <v>45597</v>
      </c>
      <c r="F85" s="18">
        <v>45597</v>
      </c>
      <c r="G85" s="18" t="s">
        <v>217</v>
      </c>
      <c r="H85" s="31" t="s">
        <v>57</v>
      </c>
      <c r="I85" s="12">
        <v>2</v>
      </c>
      <c r="J85" s="12" t="s">
        <v>42</v>
      </c>
      <c r="K85" s="12"/>
      <c r="L85" s="12" t="s">
        <v>110</v>
      </c>
      <c r="M85" s="16" t="s">
        <v>58</v>
      </c>
      <c r="N85" s="12" t="s">
        <v>111</v>
      </c>
      <c r="O85" s="12"/>
      <c r="P85" s="18">
        <v>45474</v>
      </c>
      <c r="Q85" s="19"/>
      <c r="R85" s="19">
        <v>983800</v>
      </c>
      <c r="S85" s="19">
        <v>983800</v>
      </c>
      <c r="T85" s="12" t="s">
        <v>60</v>
      </c>
      <c r="U85" s="12" t="s">
        <v>109</v>
      </c>
      <c r="V85" s="18">
        <v>45601</v>
      </c>
      <c r="W85" s="18">
        <v>45785</v>
      </c>
      <c r="X85" s="19"/>
      <c r="Y85" s="19">
        <v>983800</v>
      </c>
      <c r="Z85" s="19">
        <v>983800</v>
      </c>
      <c r="AA85" s="12" t="s">
        <v>43</v>
      </c>
      <c r="AB85" s="12"/>
      <c r="AC85" s="12"/>
      <c r="AD85" s="12"/>
      <c r="AE85" s="12"/>
      <c r="AF85" s="12"/>
      <c r="AG85" s="12"/>
      <c r="AH85" s="26"/>
      <c r="AI85" s="12" t="s">
        <v>61</v>
      </c>
      <c r="AJ85" s="16" t="s">
        <v>112</v>
      </c>
      <c r="AK85" s="12" t="s">
        <v>58</v>
      </c>
      <c r="AL85" s="12"/>
      <c r="AM85" s="12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</row>
    <row r="86" spans="1:207" ht="11.25" customHeight="1" x14ac:dyDescent="0.25">
      <c r="A86" s="25"/>
      <c r="B86" s="12" t="s">
        <v>40</v>
      </c>
      <c r="C86" s="12" t="s">
        <v>54</v>
      </c>
      <c r="D86" s="12" t="s">
        <v>41</v>
      </c>
      <c r="E86" s="18">
        <v>45639</v>
      </c>
      <c r="F86" s="18">
        <v>45639</v>
      </c>
      <c r="G86" s="18" t="s">
        <v>217</v>
      </c>
      <c r="H86" s="31" t="s">
        <v>57</v>
      </c>
      <c r="I86" s="12">
        <v>2</v>
      </c>
      <c r="J86" s="12" t="s">
        <v>42</v>
      </c>
      <c r="K86" s="12"/>
      <c r="L86" s="16" t="s">
        <v>63</v>
      </c>
      <c r="M86" s="16" t="s">
        <v>58</v>
      </c>
      <c r="N86" s="12" t="s">
        <v>77</v>
      </c>
      <c r="O86" s="12"/>
      <c r="P86" s="18">
        <v>45536</v>
      </c>
      <c r="Q86" s="19"/>
      <c r="R86" s="19">
        <v>11001577.199999999</v>
      </c>
      <c r="S86" s="19">
        <v>11001577.199999999</v>
      </c>
      <c r="T86" s="12" t="s">
        <v>60</v>
      </c>
      <c r="U86" s="12" t="s">
        <v>114</v>
      </c>
      <c r="V86" s="18">
        <v>45643</v>
      </c>
      <c r="W86" s="18">
        <v>45751</v>
      </c>
      <c r="X86" s="19"/>
      <c r="Y86" s="19">
        <v>11001577.199999999</v>
      </c>
      <c r="Z86" s="19">
        <v>11001577.199999999</v>
      </c>
      <c r="AA86" s="12" t="s">
        <v>43</v>
      </c>
      <c r="AB86" s="12"/>
      <c r="AC86" s="12"/>
      <c r="AD86" s="12"/>
      <c r="AE86" s="12"/>
      <c r="AF86" s="12"/>
      <c r="AG86" s="16"/>
      <c r="AH86" s="26"/>
      <c r="AI86" s="12" t="s">
        <v>61</v>
      </c>
      <c r="AJ86" s="16" t="s">
        <v>130</v>
      </c>
      <c r="AK86" s="12" t="s">
        <v>58</v>
      </c>
      <c r="AL86" s="12"/>
      <c r="AM86" s="12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</row>
    <row r="87" spans="1:207" ht="11.25" customHeight="1" x14ac:dyDescent="0.25">
      <c r="A87" s="25"/>
      <c r="B87" s="12" t="s">
        <v>40</v>
      </c>
      <c r="C87" s="12" t="s">
        <v>40</v>
      </c>
      <c r="D87" s="12" t="s">
        <v>41</v>
      </c>
      <c r="E87" s="18">
        <v>45639</v>
      </c>
      <c r="F87" s="18">
        <v>45639</v>
      </c>
      <c r="G87" s="18" t="s">
        <v>217</v>
      </c>
      <c r="H87" s="31" t="s">
        <v>57</v>
      </c>
      <c r="I87" s="12">
        <v>2</v>
      </c>
      <c r="J87" s="12" t="s">
        <v>42</v>
      </c>
      <c r="K87" s="12"/>
      <c r="L87" s="17" t="s">
        <v>86</v>
      </c>
      <c r="M87" s="16" t="s">
        <v>58</v>
      </c>
      <c r="N87" s="12" t="s">
        <v>87</v>
      </c>
      <c r="O87" s="12"/>
      <c r="P87" s="18">
        <v>45536</v>
      </c>
      <c r="Q87" s="19"/>
      <c r="R87" s="19">
        <v>2020337.26</v>
      </c>
      <c r="S87" s="19">
        <v>2020337.26</v>
      </c>
      <c r="T87" s="16" t="s">
        <v>60</v>
      </c>
      <c r="U87" s="12" t="s">
        <v>119</v>
      </c>
      <c r="V87" s="18">
        <v>45643</v>
      </c>
      <c r="W87" s="18">
        <v>45751</v>
      </c>
      <c r="X87" s="19"/>
      <c r="Y87" s="19">
        <v>2020337.26</v>
      </c>
      <c r="Z87" s="19">
        <v>2020337.26</v>
      </c>
      <c r="AA87" s="25" t="s">
        <v>43</v>
      </c>
      <c r="AB87" s="12"/>
      <c r="AC87" s="12"/>
      <c r="AD87" s="12"/>
      <c r="AE87" s="12"/>
      <c r="AF87" s="12"/>
      <c r="AG87" s="16"/>
      <c r="AH87" s="26"/>
      <c r="AI87" s="12" t="s">
        <v>61</v>
      </c>
      <c r="AJ87" s="16" t="s">
        <v>130</v>
      </c>
      <c r="AK87" s="12" t="s">
        <v>58</v>
      </c>
      <c r="AL87" s="12"/>
      <c r="AM87" s="12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</row>
    <row r="88" spans="1:207" ht="15" customHeight="1" x14ac:dyDescent="0.25">
      <c r="A88" s="27"/>
      <c r="B88" s="12" t="s">
        <v>40</v>
      </c>
      <c r="C88" s="12" t="s">
        <v>40</v>
      </c>
      <c r="D88" s="12" t="s">
        <v>41</v>
      </c>
      <c r="E88" s="18">
        <v>45639</v>
      </c>
      <c r="F88" s="18">
        <v>45639</v>
      </c>
      <c r="G88" s="18" t="s">
        <v>217</v>
      </c>
      <c r="H88" s="31" t="s">
        <v>57</v>
      </c>
      <c r="I88" s="12">
        <v>2</v>
      </c>
      <c r="J88" s="12" t="s">
        <v>42</v>
      </c>
      <c r="K88" s="12"/>
      <c r="L88" s="17" t="s">
        <v>85</v>
      </c>
      <c r="M88" s="16" t="s">
        <v>58</v>
      </c>
      <c r="N88" s="12" t="s">
        <v>91</v>
      </c>
      <c r="O88" s="12"/>
      <c r="P88" s="18">
        <v>45536</v>
      </c>
      <c r="Q88" s="19"/>
      <c r="R88" s="19">
        <v>9005386</v>
      </c>
      <c r="S88" s="19">
        <v>9005386</v>
      </c>
      <c r="T88" s="16" t="s">
        <v>60</v>
      </c>
      <c r="U88" s="12" t="s">
        <v>120</v>
      </c>
      <c r="V88" s="18">
        <v>45643</v>
      </c>
      <c r="W88" s="18">
        <v>45751</v>
      </c>
      <c r="X88" s="19"/>
      <c r="Y88" s="19">
        <v>9005386</v>
      </c>
      <c r="Z88" s="19">
        <v>9005386</v>
      </c>
      <c r="AA88" s="25" t="s">
        <v>43</v>
      </c>
      <c r="AB88" s="12"/>
      <c r="AC88" s="12"/>
      <c r="AD88" s="12"/>
      <c r="AE88" s="12"/>
      <c r="AF88" s="12"/>
      <c r="AG88" s="16"/>
      <c r="AH88" s="26"/>
      <c r="AI88" s="12" t="s">
        <v>61</v>
      </c>
      <c r="AJ88" s="16" t="s">
        <v>130</v>
      </c>
      <c r="AK88" s="12" t="s">
        <v>58</v>
      </c>
      <c r="AL88" s="12"/>
      <c r="AM88" s="12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</row>
    <row r="89" spans="1:207" ht="15" customHeight="1" x14ac:dyDescent="0.25">
      <c r="A89" s="27"/>
      <c r="B89" s="12" t="s">
        <v>40</v>
      </c>
      <c r="C89" s="12" t="s">
        <v>54</v>
      </c>
      <c r="D89" s="12" t="s">
        <v>41</v>
      </c>
      <c r="E89" s="18">
        <v>45639</v>
      </c>
      <c r="F89" s="18">
        <v>45639</v>
      </c>
      <c r="G89" s="18" t="s">
        <v>217</v>
      </c>
      <c r="H89" s="31" t="s">
        <v>57</v>
      </c>
      <c r="I89" s="12">
        <v>2</v>
      </c>
      <c r="J89" s="12" t="s">
        <v>42</v>
      </c>
      <c r="K89" s="12"/>
      <c r="L89" s="12" t="s">
        <v>110</v>
      </c>
      <c r="M89" s="16" t="s">
        <v>58</v>
      </c>
      <c r="N89" s="12" t="s">
        <v>111</v>
      </c>
      <c r="O89" s="12"/>
      <c r="P89" s="18">
        <v>45536</v>
      </c>
      <c r="Q89" s="19"/>
      <c r="R89" s="19">
        <v>4674000</v>
      </c>
      <c r="S89" s="19">
        <v>4674000</v>
      </c>
      <c r="T89" s="12" t="s">
        <v>60</v>
      </c>
      <c r="U89" s="12" t="s">
        <v>121</v>
      </c>
      <c r="V89" s="18">
        <v>45643</v>
      </c>
      <c r="W89" s="18">
        <v>45751</v>
      </c>
      <c r="X89" s="19"/>
      <c r="Y89" s="19">
        <v>4674000</v>
      </c>
      <c r="Z89" s="19">
        <v>4674000</v>
      </c>
      <c r="AA89" s="12" t="s">
        <v>43</v>
      </c>
      <c r="AB89" s="12"/>
      <c r="AC89" s="12"/>
      <c r="AD89" s="12"/>
      <c r="AE89" s="12"/>
      <c r="AF89" s="12"/>
      <c r="AG89" s="12"/>
      <c r="AH89" s="26"/>
      <c r="AI89" s="12" t="s">
        <v>61</v>
      </c>
      <c r="AJ89" s="16" t="s">
        <v>130</v>
      </c>
      <c r="AK89" s="12" t="s">
        <v>58</v>
      </c>
      <c r="AL89" s="12"/>
      <c r="AM89" s="12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</row>
    <row r="90" spans="1:207" ht="15" customHeight="1" x14ac:dyDescent="0.25">
      <c r="A90" s="27"/>
      <c r="B90" s="12" t="s">
        <v>40</v>
      </c>
      <c r="C90" s="12" t="s">
        <v>40</v>
      </c>
      <c r="D90" s="12" t="s">
        <v>41</v>
      </c>
      <c r="E90" s="18">
        <v>45639</v>
      </c>
      <c r="F90" s="18">
        <v>45639</v>
      </c>
      <c r="G90" s="18" t="s">
        <v>217</v>
      </c>
      <c r="H90" s="31" t="s">
        <v>57</v>
      </c>
      <c r="I90" s="12">
        <v>2</v>
      </c>
      <c r="J90" s="12" t="s">
        <v>42</v>
      </c>
      <c r="K90" s="12"/>
      <c r="L90" s="16" t="s">
        <v>49</v>
      </c>
      <c r="M90" s="16" t="s">
        <v>58</v>
      </c>
      <c r="N90" s="12" t="s">
        <v>116</v>
      </c>
      <c r="O90" s="12"/>
      <c r="P90" s="18">
        <v>45536</v>
      </c>
      <c r="Q90" s="19"/>
      <c r="R90" s="19">
        <v>5994500</v>
      </c>
      <c r="S90" s="19">
        <v>5994500</v>
      </c>
      <c r="T90" s="16" t="s">
        <v>60</v>
      </c>
      <c r="U90" s="12" t="s">
        <v>122</v>
      </c>
      <c r="V90" s="18">
        <v>45643</v>
      </c>
      <c r="W90" s="18">
        <v>45751</v>
      </c>
      <c r="X90" s="19"/>
      <c r="Y90" s="19">
        <v>5994500</v>
      </c>
      <c r="Z90" s="19">
        <v>5994500</v>
      </c>
      <c r="AA90" s="25" t="s">
        <v>43</v>
      </c>
      <c r="AB90" s="12"/>
      <c r="AC90" s="12"/>
      <c r="AD90" s="12"/>
      <c r="AE90" s="12"/>
      <c r="AF90" s="12"/>
      <c r="AG90" s="16"/>
      <c r="AH90" s="26"/>
      <c r="AI90" s="12" t="s">
        <v>61</v>
      </c>
      <c r="AJ90" s="16" t="s">
        <v>130</v>
      </c>
      <c r="AK90" s="12" t="s">
        <v>58</v>
      </c>
      <c r="AL90" s="12"/>
      <c r="AM90" s="12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</row>
    <row r="91" spans="1:207" ht="11.25" customHeight="1" x14ac:dyDescent="0.25">
      <c r="A91" s="25"/>
      <c r="B91" s="12" t="s">
        <v>40</v>
      </c>
      <c r="C91" s="12" t="s">
        <v>54</v>
      </c>
      <c r="D91" s="12" t="s">
        <v>41</v>
      </c>
      <c r="E91" s="18">
        <v>45639</v>
      </c>
      <c r="F91" s="18">
        <v>45639</v>
      </c>
      <c r="G91" s="18" t="s">
        <v>217</v>
      </c>
      <c r="H91" s="31" t="s">
        <v>57</v>
      </c>
      <c r="I91" s="12">
        <v>2</v>
      </c>
      <c r="J91" s="12" t="s">
        <v>42</v>
      </c>
      <c r="K91" s="12"/>
      <c r="L91" s="17" t="s">
        <v>50</v>
      </c>
      <c r="M91" s="16" t="s">
        <v>58</v>
      </c>
      <c r="N91" s="12" t="s">
        <v>59</v>
      </c>
      <c r="O91" s="12"/>
      <c r="P91" s="18">
        <v>45536</v>
      </c>
      <c r="Q91" s="19"/>
      <c r="R91" s="19">
        <v>42351570.909999996</v>
      </c>
      <c r="S91" s="19">
        <v>42351570.909999996</v>
      </c>
      <c r="T91" s="16" t="s">
        <v>60</v>
      </c>
      <c r="U91" s="12" t="s">
        <v>123</v>
      </c>
      <c r="V91" s="18">
        <v>45643</v>
      </c>
      <c r="W91" s="18">
        <v>45751</v>
      </c>
      <c r="X91" s="19"/>
      <c r="Y91" s="19">
        <v>42351570.909999996</v>
      </c>
      <c r="Z91" s="19">
        <v>42351570.909999996</v>
      </c>
      <c r="AA91" s="25" t="s">
        <v>43</v>
      </c>
      <c r="AB91" s="12"/>
      <c r="AC91" s="12"/>
      <c r="AD91" s="12"/>
      <c r="AE91" s="12"/>
      <c r="AF91" s="12"/>
      <c r="AG91" s="16"/>
      <c r="AH91" s="26"/>
      <c r="AI91" s="12" t="s">
        <v>61</v>
      </c>
      <c r="AJ91" s="16" t="s">
        <v>130</v>
      </c>
      <c r="AK91" s="12" t="s">
        <v>58</v>
      </c>
      <c r="AL91" s="12"/>
      <c r="AM91" s="12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</row>
    <row r="92" spans="1:207" ht="11.25" customHeight="1" x14ac:dyDescent="0.25">
      <c r="A92" s="25"/>
      <c r="B92" s="12" t="s">
        <v>40</v>
      </c>
      <c r="C92" s="12" t="s">
        <v>40</v>
      </c>
      <c r="D92" s="12" t="s">
        <v>41</v>
      </c>
      <c r="E92" s="18">
        <v>45639</v>
      </c>
      <c r="F92" s="18">
        <v>45639</v>
      </c>
      <c r="G92" s="18" t="s">
        <v>217</v>
      </c>
      <c r="H92" s="31" t="s">
        <v>57</v>
      </c>
      <c r="I92" s="12">
        <v>2</v>
      </c>
      <c r="J92" s="12" t="s">
        <v>42</v>
      </c>
      <c r="K92" s="12"/>
      <c r="L92" s="16" t="s">
        <v>65</v>
      </c>
      <c r="M92" s="16" t="s">
        <v>58</v>
      </c>
      <c r="N92" s="12" t="s">
        <v>90</v>
      </c>
      <c r="O92" s="12"/>
      <c r="P92" s="18">
        <v>45536</v>
      </c>
      <c r="Q92" s="19"/>
      <c r="R92" s="19">
        <v>956400</v>
      </c>
      <c r="S92" s="19">
        <v>956400</v>
      </c>
      <c r="T92" s="12" t="s">
        <v>60</v>
      </c>
      <c r="U92" s="12" t="s">
        <v>124</v>
      </c>
      <c r="V92" s="18">
        <v>45643</v>
      </c>
      <c r="W92" s="18">
        <v>45751</v>
      </c>
      <c r="X92" s="19"/>
      <c r="Y92" s="19">
        <v>956400</v>
      </c>
      <c r="Z92" s="19">
        <v>956400</v>
      </c>
      <c r="AA92" s="12" t="s">
        <v>43</v>
      </c>
      <c r="AB92" s="12"/>
      <c r="AC92" s="12"/>
      <c r="AD92" s="12"/>
      <c r="AE92" s="12"/>
      <c r="AF92" s="12"/>
      <c r="AG92" s="16"/>
      <c r="AH92" s="26"/>
      <c r="AI92" s="12" t="s">
        <v>61</v>
      </c>
      <c r="AJ92" s="16" t="s">
        <v>130</v>
      </c>
      <c r="AK92" s="12" t="s">
        <v>58</v>
      </c>
      <c r="AL92" s="12"/>
      <c r="AM92" s="12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</row>
    <row r="93" spans="1:207" ht="11.25" customHeight="1" x14ac:dyDescent="0.25">
      <c r="A93" s="25"/>
      <c r="B93" s="12" t="s">
        <v>40</v>
      </c>
      <c r="C93" s="12" t="s">
        <v>54</v>
      </c>
      <c r="D93" s="12" t="s">
        <v>41</v>
      </c>
      <c r="E93" s="18">
        <v>45639</v>
      </c>
      <c r="F93" s="18">
        <v>45639</v>
      </c>
      <c r="G93" s="18" t="s">
        <v>217</v>
      </c>
      <c r="H93" s="31" t="s">
        <v>57</v>
      </c>
      <c r="I93" s="12">
        <v>2</v>
      </c>
      <c r="J93" s="12" t="s">
        <v>42</v>
      </c>
      <c r="K93" s="12"/>
      <c r="L93" s="12" t="s">
        <v>62</v>
      </c>
      <c r="M93" s="16" t="s">
        <v>58</v>
      </c>
      <c r="N93" s="12" t="s">
        <v>108</v>
      </c>
      <c r="O93" s="12"/>
      <c r="P93" s="18">
        <v>45536</v>
      </c>
      <c r="Q93" s="19"/>
      <c r="R93" s="19">
        <v>7177226.9400000004</v>
      </c>
      <c r="S93" s="19">
        <v>7177226.9400000004</v>
      </c>
      <c r="T93" s="12" t="s">
        <v>60</v>
      </c>
      <c r="U93" s="12" t="s">
        <v>125</v>
      </c>
      <c r="V93" s="18">
        <v>45643</v>
      </c>
      <c r="W93" s="18">
        <v>45751</v>
      </c>
      <c r="X93" s="19"/>
      <c r="Y93" s="19">
        <v>7177226.9400000004</v>
      </c>
      <c r="Z93" s="19">
        <v>7177226.9400000004</v>
      </c>
      <c r="AA93" s="12" t="s">
        <v>43</v>
      </c>
      <c r="AB93" s="12"/>
      <c r="AC93" s="12"/>
      <c r="AD93" s="12"/>
      <c r="AE93" s="12"/>
      <c r="AF93" s="12"/>
      <c r="AG93" s="12"/>
      <c r="AH93" s="26"/>
      <c r="AI93" s="12" t="s">
        <v>61</v>
      </c>
      <c r="AJ93" s="16" t="s">
        <v>130</v>
      </c>
      <c r="AK93" s="12" t="s">
        <v>58</v>
      </c>
      <c r="AL93" s="12"/>
      <c r="AM93" s="12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</row>
    <row r="94" spans="1:207" ht="15" customHeight="1" x14ac:dyDescent="0.25">
      <c r="A94" s="27"/>
      <c r="B94" s="12" t="s">
        <v>40</v>
      </c>
      <c r="C94" s="12" t="s">
        <v>54</v>
      </c>
      <c r="D94" s="12" t="s">
        <v>41</v>
      </c>
      <c r="E94" s="18">
        <v>45639</v>
      </c>
      <c r="F94" s="18">
        <v>45639</v>
      </c>
      <c r="G94" s="18" t="s">
        <v>217</v>
      </c>
      <c r="H94" s="31" t="s">
        <v>57</v>
      </c>
      <c r="I94" s="12">
        <v>2</v>
      </c>
      <c r="J94" s="12" t="s">
        <v>42</v>
      </c>
      <c r="K94" s="12"/>
      <c r="L94" s="12" t="s">
        <v>106</v>
      </c>
      <c r="M94" s="16" t="s">
        <v>58</v>
      </c>
      <c r="N94" s="12" t="s">
        <v>107</v>
      </c>
      <c r="O94" s="12"/>
      <c r="P94" s="18">
        <v>45536</v>
      </c>
      <c r="Q94" s="19"/>
      <c r="R94" s="19">
        <v>80000</v>
      </c>
      <c r="S94" s="19">
        <v>80000</v>
      </c>
      <c r="T94" s="12" t="s">
        <v>60</v>
      </c>
      <c r="U94" s="12" t="s">
        <v>126</v>
      </c>
      <c r="V94" s="18">
        <v>45643</v>
      </c>
      <c r="W94" s="18">
        <v>45751</v>
      </c>
      <c r="X94" s="19"/>
      <c r="Y94" s="19">
        <v>80000</v>
      </c>
      <c r="Z94" s="19">
        <v>80000</v>
      </c>
      <c r="AA94" s="12" t="s">
        <v>43</v>
      </c>
      <c r="AB94" s="12"/>
      <c r="AC94" s="12"/>
      <c r="AD94" s="12"/>
      <c r="AE94" s="12"/>
      <c r="AF94" s="12"/>
      <c r="AG94" s="12"/>
      <c r="AH94" s="26"/>
      <c r="AI94" s="12" t="s">
        <v>61</v>
      </c>
      <c r="AJ94" s="16" t="s">
        <v>130</v>
      </c>
      <c r="AK94" s="12" t="s">
        <v>58</v>
      </c>
      <c r="AL94" s="12"/>
      <c r="AM94" s="12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</row>
    <row r="95" spans="1:207" ht="11.25" customHeight="1" x14ac:dyDescent="0.25">
      <c r="A95" s="25"/>
      <c r="B95" s="12" t="s">
        <v>40</v>
      </c>
      <c r="C95" s="12" t="s">
        <v>40</v>
      </c>
      <c r="D95" s="12" t="s">
        <v>41</v>
      </c>
      <c r="E95" s="18">
        <v>45639</v>
      </c>
      <c r="F95" s="18">
        <v>45639</v>
      </c>
      <c r="G95" s="18" t="s">
        <v>217</v>
      </c>
      <c r="H95" s="31" t="s">
        <v>57</v>
      </c>
      <c r="I95" s="12">
        <v>2</v>
      </c>
      <c r="J95" s="12" t="s">
        <v>42</v>
      </c>
      <c r="K95" s="12"/>
      <c r="L95" s="16" t="s">
        <v>49</v>
      </c>
      <c r="M95" s="16" t="s">
        <v>58</v>
      </c>
      <c r="N95" s="12" t="s">
        <v>81</v>
      </c>
      <c r="O95" s="12"/>
      <c r="P95" s="18">
        <v>45536</v>
      </c>
      <c r="Q95" s="19"/>
      <c r="R95" s="19">
        <v>300000</v>
      </c>
      <c r="S95" s="19">
        <v>300000</v>
      </c>
      <c r="T95" s="16" t="s">
        <v>60</v>
      </c>
      <c r="U95" s="12" t="s">
        <v>127</v>
      </c>
      <c r="V95" s="18">
        <v>45643</v>
      </c>
      <c r="W95" s="18">
        <v>45751</v>
      </c>
      <c r="X95" s="19"/>
      <c r="Y95" s="19">
        <v>300000</v>
      </c>
      <c r="Z95" s="19">
        <v>300000</v>
      </c>
      <c r="AA95" s="25" t="s">
        <v>43</v>
      </c>
      <c r="AB95" s="12"/>
      <c r="AC95" s="12"/>
      <c r="AD95" s="12"/>
      <c r="AE95" s="12"/>
      <c r="AF95" s="12"/>
      <c r="AG95" s="16"/>
      <c r="AH95" s="26"/>
      <c r="AI95" s="12" t="s">
        <v>61</v>
      </c>
      <c r="AJ95" s="16" t="s">
        <v>130</v>
      </c>
      <c r="AK95" s="12" t="s">
        <v>58</v>
      </c>
      <c r="AL95" s="12"/>
      <c r="AM95" s="12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</row>
    <row r="96" spans="1:207" ht="11.25" customHeight="1" x14ac:dyDescent="0.25">
      <c r="A96" s="25"/>
      <c r="B96" s="12" t="s">
        <v>41</v>
      </c>
      <c r="C96" s="12" t="s">
        <v>41</v>
      </c>
      <c r="D96" s="12" t="s">
        <v>41</v>
      </c>
      <c r="E96" s="18">
        <v>45639</v>
      </c>
      <c r="F96" s="18">
        <v>45639</v>
      </c>
      <c r="G96" s="18" t="s">
        <v>217</v>
      </c>
      <c r="H96" s="31" t="s">
        <v>57</v>
      </c>
      <c r="I96" s="12">
        <v>2</v>
      </c>
      <c r="J96" s="12" t="s">
        <v>42</v>
      </c>
      <c r="K96" s="12"/>
      <c r="L96" s="16" t="s">
        <v>73</v>
      </c>
      <c r="M96" s="16" t="s">
        <v>58</v>
      </c>
      <c r="N96" s="12" t="s">
        <v>117</v>
      </c>
      <c r="O96" s="12"/>
      <c r="P96" s="18">
        <v>45536</v>
      </c>
      <c r="Q96" s="19"/>
      <c r="R96" s="19">
        <v>1923120</v>
      </c>
      <c r="S96" s="19">
        <v>1923120</v>
      </c>
      <c r="T96" s="12" t="s">
        <v>60</v>
      </c>
      <c r="U96" s="12" t="s">
        <v>128</v>
      </c>
      <c r="V96" s="18">
        <v>45643</v>
      </c>
      <c r="W96" s="18">
        <v>45751</v>
      </c>
      <c r="X96" s="19"/>
      <c r="Y96" s="19">
        <v>1923120</v>
      </c>
      <c r="Z96" s="19">
        <v>1923120</v>
      </c>
      <c r="AA96" s="12" t="s">
        <v>43</v>
      </c>
      <c r="AB96" s="12"/>
      <c r="AC96" s="12"/>
      <c r="AD96" s="12"/>
      <c r="AE96" s="12"/>
      <c r="AF96" s="12"/>
      <c r="AG96" s="12"/>
      <c r="AH96" s="26"/>
      <c r="AI96" s="12" t="s">
        <v>61</v>
      </c>
      <c r="AJ96" s="16" t="s">
        <v>130</v>
      </c>
      <c r="AK96" s="12" t="s">
        <v>58</v>
      </c>
      <c r="AL96" s="12"/>
      <c r="AM96" s="12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</row>
    <row r="97" spans="1:207" ht="11.25" customHeight="1" x14ac:dyDescent="0.25">
      <c r="A97" s="25"/>
      <c r="B97" s="12" t="s">
        <v>40</v>
      </c>
      <c r="C97" s="12" t="s">
        <v>40</v>
      </c>
      <c r="D97" s="12" t="s">
        <v>41</v>
      </c>
      <c r="E97" s="18">
        <v>45639</v>
      </c>
      <c r="F97" s="18">
        <v>45639</v>
      </c>
      <c r="G97" s="18" t="s">
        <v>217</v>
      </c>
      <c r="H97" s="31" t="s">
        <v>57</v>
      </c>
      <c r="I97" s="12">
        <v>2</v>
      </c>
      <c r="J97" s="12" t="s">
        <v>42</v>
      </c>
      <c r="K97" s="12"/>
      <c r="L97" s="17" t="s">
        <v>88</v>
      </c>
      <c r="M97" s="16" t="s">
        <v>58</v>
      </c>
      <c r="N97" s="12" t="s">
        <v>118</v>
      </c>
      <c r="O97" s="12"/>
      <c r="P97" s="18">
        <v>45536</v>
      </c>
      <c r="Q97" s="19"/>
      <c r="R97" s="19">
        <v>2598000</v>
      </c>
      <c r="S97" s="19">
        <v>2598000</v>
      </c>
      <c r="T97" s="12" t="s">
        <v>60</v>
      </c>
      <c r="U97" s="12" t="s">
        <v>129</v>
      </c>
      <c r="V97" s="18">
        <v>45643</v>
      </c>
      <c r="W97" s="18">
        <v>45751</v>
      </c>
      <c r="X97" s="19"/>
      <c r="Y97" s="19">
        <v>2598000</v>
      </c>
      <c r="Z97" s="19">
        <v>2598000</v>
      </c>
      <c r="AA97" s="12" t="s">
        <v>43</v>
      </c>
      <c r="AB97" s="12"/>
      <c r="AC97" s="12"/>
      <c r="AD97" s="12"/>
      <c r="AE97" s="12"/>
      <c r="AF97" s="12"/>
      <c r="AG97" s="16"/>
      <c r="AH97" s="19"/>
      <c r="AI97" s="12" t="s">
        <v>61</v>
      </c>
      <c r="AJ97" s="16" t="s">
        <v>130</v>
      </c>
      <c r="AK97" s="12" t="s">
        <v>58</v>
      </c>
      <c r="AL97" s="12"/>
      <c r="AM97" s="12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</row>
    <row r="98" spans="1:207" ht="11.25" customHeight="1" x14ac:dyDescent="0.25">
      <c r="A98" s="25"/>
      <c r="B98" s="12" t="s">
        <v>40</v>
      </c>
      <c r="C98" s="12" t="s">
        <v>40</v>
      </c>
      <c r="D98" s="12" t="s">
        <v>41</v>
      </c>
      <c r="E98" s="18">
        <v>45639</v>
      </c>
      <c r="F98" s="18">
        <v>45639</v>
      </c>
      <c r="G98" s="18" t="s">
        <v>217</v>
      </c>
      <c r="H98" s="31" t="s">
        <v>57</v>
      </c>
      <c r="I98" s="12">
        <v>2</v>
      </c>
      <c r="J98" s="12" t="s">
        <v>42</v>
      </c>
      <c r="K98" s="12"/>
      <c r="L98" s="17" t="s">
        <v>85</v>
      </c>
      <c r="M98" s="16" t="s">
        <v>58</v>
      </c>
      <c r="N98" s="12" t="s">
        <v>91</v>
      </c>
      <c r="O98" s="12"/>
      <c r="P98" s="18">
        <v>45536</v>
      </c>
      <c r="Q98" s="19"/>
      <c r="R98" s="19">
        <v>50733000</v>
      </c>
      <c r="S98" s="19">
        <v>50733000</v>
      </c>
      <c r="T98" s="16" t="s">
        <v>60</v>
      </c>
      <c r="U98" s="12" t="s">
        <v>114</v>
      </c>
      <c r="V98" s="18">
        <v>45643</v>
      </c>
      <c r="W98" s="18">
        <v>45803</v>
      </c>
      <c r="X98" s="19"/>
      <c r="Y98" s="19">
        <v>50733000</v>
      </c>
      <c r="Z98" s="19">
        <v>50733000</v>
      </c>
      <c r="AA98" s="25" t="s">
        <v>43</v>
      </c>
      <c r="AB98" s="12"/>
      <c r="AC98" s="12"/>
      <c r="AD98" s="12"/>
      <c r="AE98" s="12"/>
      <c r="AF98" s="12"/>
      <c r="AG98" s="16"/>
      <c r="AH98" s="26"/>
      <c r="AI98" s="12" t="s">
        <v>61</v>
      </c>
      <c r="AJ98" s="16" t="s">
        <v>115</v>
      </c>
      <c r="AK98" s="12" t="s">
        <v>58</v>
      </c>
      <c r="AL98" s="12"/>
      <c r="AM98" s="12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</row>
    <row r="99" spans="1:207" ht="11.25" customHeight="1" x14ac:dyDescent="0.25">
      <c r="A99" s="25"/>
      <c r="B99" s="12" t="s">
        <v>40</v>
      </c>
      <c r="C99" s="12" t="s">
        <v>40</v>
      </c>
      <c r="D99" s="12" t="s">
        <v>41</v>
      </c>
      <c r="E99" s="18">
        <v>45695</v>
      </c>
      <c r="F99" s="18">
        <v>45695</v>
      </c>
      <c r="G99" s="18" t="s">
        <v>217</v>
      </c>
      <c r="H99" s="31" t="s">
        <v>57</v>
      </c>
      <c r="I99" s="12">
        <v>2</v>
      </c>
      <c r="J99" s="12" t="s">
        <v>42</v>
      </c>
      <c r="K99" s="12"/>
      <c r="L99" s="17" t="s">
        <v>86</v>
      </c>
      <c r="M99" s="16" t="s">
        <v>58</v>
      </c>
      <c r="N99" s="12" t="s">
        <v>87</v>
      </c>
      <c r="O99" s="12"/>
      <c r="P99" s="18">
        <v>45588</v>
      </c>
      <c r="Q99" s="19"/>
      <c r="R99" s="19">
        <v>13340000</v>
      </c>
      <c r="S99" s="19">
        <v>13340000</v>
      </c>
      <c r="T99" s="12" t="s">
        <v>60</v>
      </c>
      <c r="U99" s="12" t="s">
        <v>132</v>
      </c>
      <c r="V99" s="18">
        <v>45699</v>
      </c>
      <c r="W99" s="18">
        <v>45756</v>
      </c>
      <c r="X99" s="19"/>
      <c r="Y99" s="19">
        <v>13340000</v>
      </c>
      <c r="Z99" s="19">
        <v>13340000</v>
      </c>
      <c r="AA99" s="25" t="s">
        <v>43</v>
      </c>
      <c r="AB99" s="12"/>
      <c r="AC99" s="12"/>
      <c r="AD99" s="12"/>
      <c r="AE99" s="12"/>
      <c r="AF99" s="12"/>
      <c r="AG99" s="16"/>
      <c r="AH99" s="26"/>
      <c r="AI99" s="12" t="s">
        <v>61</v>
      </c>
      <c r="AJ99" s="16" t="s">
        <v>134</v>
      </c>
      <c r="AK99" s="12" t="s">
        <v>58</v>
      </c>
      <c r="AL99" s="12"/>
      <c r="AM99" s="12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</row>
    <row r="100" spans="1:207" ht="15" customHeight="1" x14ac:dyDescent="0.25">
      <c r="A100" s="27"/>
      <c r="B100" s="12" t="s">
        <v>40</v>
      </c>
      <c r="C100" s="12" t="s">
        <v>40</v>
      </c>
      <c r="D100" s="12" t="s">
        <v>41</v>
      </c>
      <c r="E100" s="18">
        <v>45695</v>
      </c>
      <c r="F100" s="18">
        <v>45695</v>
      </c>
      <c r="G100" s="18" t="s">
        <v>217</v>
      </c>
      <c r="H100" s="31" t="s">
        <v>57</v>
      </c>
      <c r="I100" s="12">
        <v>2</v>
      </c>
      <c r="J100" s="12" t="s">
        <v>42</v>
      </c>
      <c r="K100" s="12"/>
      <c r="L100" s="17" t="s">
        <v>85</v>
      </c>
      <c r="M100" s="16" t="s">
        <v>58</v>
      </c>
      <c r="N100" s="12" t="s">
        <v>91</v>
      </c>
      <c r="O100" s="12"/>
      <c r="P100" s="18">
        <v>45588</v>
      </c>
      <c r="Q100" s="19"/>
      <c r="R100" s="19">
        <v>10350000</v>
      </c>
      <c r="S100" s="19">
        <v>10350000</v>
      </c>
      <c r="T100" s="12" t="s">
        <v>60</v>
      </c>
      <c r="U100" s="12" t="s">
        <v>133</v>
      </c>
      <c r="V100" s="18">
        <v>45699</v>
      </c>
      <c r="W100" s="18">
        <v>45756</v>
      </c>
      <c r="X100" s="19"/>
      <c r="Y100" s="19">
        <v>10350000</v>
      </c>
      <c r="Z100" s="19">
        <v>10350000</v>
      </c>
      <c r="AA100" s="25" t="s">
        <v>43</v>
      </c>
      <c r="AB100" s="12"/>
      <c r="AC100" s="12"/>
      <c r="AD100" s="12"/>
      <c r="AE100" s="12"/>
      <c r="AF100" s="12"/>
      <c r="AG100" s="16"/>
      <c r="AH100" s="26"/>
      <c r="AI100" s="12" t="s">
        <v>61</v>
      </c>
      <c r="AJ100" s="16" t="s">
        <v>134</v>
      </c>
      <c r="AK100" s="12" t="s">
        <v>58</v>
      </c>
      <c r="AL100" s="12"/>
      <c r="AM100" s="12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</row>
    <row r="101" spans="1:207" ht="11.25" customHeight="1" x14ac:dyDescent="0.25">
      <c r="A101" s="25"/>
      <c r="B101" s="12" t="s">
        <v>41</v>
      </c>
      <c r="C101" s="12" t="s">
        <v>41</v>
      </c>
      <c r="D101" s="12" t="s">
        <v>41</v>
      </c>
      <c r="E101" s="18">
        <v>45716</v>
      </c>
      <c r="F101" s="18">
        <v>45716</v>
      </c>
      <c r="G101" s="18" t="s">
        <v>218</v>
      </c>
      <c r="H101" s="12" t="s">
        <v>150</v>
      </c>
      <c r="I101" s="12">
        <v>14</v>
      </c>
      <c r="J101" s="12" t="s">
        <v>42</v>
      </c>
      <c r="K101" s="12"/>
      <c r="L101" s="16" t="s">
        <v>82</v>
      </c>
      <c r="M101" s="16" t="s">
        <v>83</v>
      </c>
      <c r="N101" s="12" t="s">
        <v>84</v>
      </c>
      <c r="O101" s="12"/>
      <c r="P101" s="18">
        <v>45716</v>
      </c>
      <c r="Q101" s="19">
        <v>277904841.99000001</v>
      </c>
      <c r="R101" s="19"/>
      <c r="S101" s="19">
        <v>277904841.99000001</v>
      </c>
      <c r="T101" s="12" t="s">
        <v>69</v>
      </c>
      <c r="U101" s="12">
        <v>58</v>
      </c>
      <c r="V101" s="18">
        <v>45716</v>
      </c>
      <c r="W101" s="18">
        <v>45716</v>
      </c>
      <c r="X101" s="19">
        <v>277904841.99000001</v>
      </c>
      <c r="Y101" s="19"/>
      <c r="Z101" s="19">
        <v>277904841.99000001</v>
      </c>
      <c r="AA101" s="12" t="s">
        <v>43</v>
      </c>
      <c r="AB101" s="12"/>
      <c r="AC101" s="12"/>
      <c r="AD101" s="12"/>
      <c r="AE101" s="12"/>
      <c r="AF101" s="12"/>
      <c r="AG101" s="12" t="s">
        <v>55</v>
      </c>
      <c r="AH101" s="19">
        <v>277904841.99000001</v>
      </c>
      <c r="AI101" s="12" t="s">
        <v>44</v>
      </c>
      <c r="AJ101" s="16"/>
      <c r="AK101" s="16"/>
      <c r="AL101" s="12"/>
      <c r="AM101" s="12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</row>
    <row r="102" spans="1:207" ht="11.25" customHeight="1" x14ac:dyDescent="0.25">
      <c r="A102" s="25"/>
      <c r="B102" s="12" t="s">
        <v>41</v>
      </c>
      <c r="C102" s="12" t="s">
        <v>41</v>
      </c>
      <c r="D102" s="12" t="s">
        <v>41</v>
      </c>
      <c r="E102" s="18">
        <v>45748</v>
      </c>
      <c r="F102" s="18">
        <v>45748</v>
      </c>
      <c r="G102" s="18" t="s">
        <v>218</v>
      </c>
      <c r="H102" s="12" t="s">
        <v>150</v>
      </c>
      <c r="I102" s="12">
        <v>14</v>
      </c>
      <c r="J102" s="12" t="s">
        <v>42</v>
      </c>
      <c r="K102" s="12"/>
      <c r="L102" s="16" t="s">
        <v>66</v>
      </c>
      <c r="M102" s="16" t="s">
        <v>67</v>
      </c>
      <c r="N102" s="12" t="s">
        <v>68</v>
      </c>
      <c r="O102" s="12"/>
      <c r="P102" s="18">
        <v>45689</v>
      </c>
      <c r="Q102" s="19">
        <v>211987722.00999999</v>
      </c>
      <c r="R102" s="19"/>
      <c r="S102" s="19">
        <v>105993861</v>
      </c>
      <c r="T102" s="12" t="s">
        <v>69</v>
      </c>
      <c r="U102" s="12">
        <v>79</v>
      </c>
      <c r="V102" s="18">
        <v>45758</v>
      </c>
      <c r="W102" s="18">
        <v>45800</v>
      </c>
      <c r="X102" s="19">
        <v>105993861</v>
      </c>
      <c r="Y102" s="19"/>
      <c r="Z102" s="19">
        <v>105993861</v>
      </c>
      <c r="AA102" s="12" t="s">
        <v>43</v>
      </c>
      <c r="AB102" s="12"/>
      <c r="AC102" s="12"/>
      <c r="AD102" s="12"/>
      <c r="AE102" s="12"/>
      <c r="AF102" s="12"/>
      <c r="AG102" s="12" t="s">
        <v>55</v>
      </c>
      <c r="AH102" s="19">
        <v>105993861</v>
      </c>
      <c r="AI102" s="12" t="s">
        <v>44</v>
      </c>
      <c r="AJ102" s="28">
        <v>0.5</v>
      </c>
      <c r="AK102" s="16"/>
      <c r="AL102" s="12"/>
      <c r="AM102" s="12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</row>
    <row r="103" spans="1:207" ht="11.25" customHeight="1" x14ac:dyDescent="0.25">
      <c r="A103" s="25"/>
      <c r="B103" s="12" t="s">
        <v>41</v>
      </c>
      <c r="C103" s="12" t="s">
        <v>41</v>
      </c>
      <c r="D103" s="12" t="s">
        <v>41</v>
      </c>
      <c r="E103" s="18">
        <v>45748</v>
      </c>
      <c r="F103" s="18">
        <v>45748</v>
      </c>
      <c r="G103" s="18" t="s">
        <v>218</v>
      </c>
      <c r="H103" s="12" t="s">
        <v>150</v>
      </c>
      <c r="I103" s="12">
        <v>14</v>
      </c>
      <c r="J103" s="12" t="s">
        <v>42</v>
      </c>
      <c r="K103" s="12"/>
      <c r="L103" s="16" t="s">
        <v>66</v>
      </c>
      <c r="M103" s="16" t="s">
        <v>67</v>
      </c>
      <c r="N103" s="12" t="s">
        <v>151</v>
      </c>
      <c r="O103" s="12"/>
      <c r="P103" s="18">
        <v>45689</v>
      </c>
      <c r="Q103" s="19">
        <v>33433143.210000001</v>
      </c>
      <c r="R103" s="19"/>
      <c r="S103" s="19">
        <v>26746514.57</v>
      </c>
      <c r="T103" s="12" t="s">
        <v>69</v>
      </c>
      <c r="U103" s="12">
        <v>80</v>
      </c>
      <c r="V103" s="18">
        <v>45758</v>
      </c>
      <c r="W103" s="18">
        <v>45800</v>
      </c>
      <c r="X103" s="19">
        <v>26746514.57</v>
      </c>
      <c r="Y103" s="19"/>
      <c r="Z103" s="19">
        <v>26746514.57</v>
      </c>
      <c r="AA103" s="12" t="s">
        <v>43</v>
      </c>
      <c r="AB103" s="12"/>
      <c r="AC103" s="12"/>
      <c r="AD103" s="12"/>
      <c r="AE103" s="12"/>
      <c r="AF103" s="12"/>
      <c r="AG103" s="12" t="s">
        <v>55</v>
      </c>
      <c r="AH103" s="19">
        <v>26746514.57</v>
      </c>
      <c r="AI103" s="12" t="s">
        <v>44</v>
      </c>
      <c r="AJ103" s="28">
        <v>0.8</v>
      </c>
      <c r="AK103" s="16"/>
      <c r="AL103" s="12"/>
      <c r="AM103" s="12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</row>
    <row r="104" spans="1:207" ht="11.25" customHeight="1" x14ac:dyDescent="0.25">
      <c r="A104" s="25"/>
      <c r="B104" s="12" t="s">
        <v>41</v>
      </c>
      <c r="C104" s="12" t="s">
        <v>41</v>
      </c>
      <c r="D104" s="12" t="s">
        <v>41</v>
      </c>
      <c r="E104" s="18">
        <v>45748</v>
      </c>
      <c r="F104" s="18">
        <v>45748</v>
      </c>
      <c r="G104" s="18" t="s">
        <v>218</v>
      </c>
      <c r="H104" s="12" t="s">
        <v>150</v>
      </c>
      <c r="I104" s="12">
        <v>14</v>
      </c>
      <c r="J104" s="12" t="s">
        <v>42</v>
      </c>
      <c r="K104" s="12"/>
      <c r="L104" s="16" t="s">
        <v>66</v>
      </c>
      <c r="M104" s="16" t="s">
        <v>67</v>
      </c>
      <c r="N104" s="12" t="s">
        <v>152</v>
      </c>
      <c r="O104" s="12"/>
      <c r="P104" s="18">
        <v>45689</v>
      </c>
      <c r="Q104" s="19">
        <v>29423551.260000002</v>
      </c>
      <c r="R104" s="19"/>
      <c r="S104" s="19">
        <v>23538841.010000002</v>
      </c>
      <c r="T104" s="12" t="s">
        <v>69</v>
      </c>
      <c r="U104" s="12">
        <v>81</v>
      </c>
      <c r="V104" s="18">
        <v>45758</v>
      </c>
      <c r="W104" s="18">
        <v>45800</v>
      </c>
      <c r="X104" s="19">
        <v>23538841.010000002</v>
      </c>
      <c r="Y104" s="19"/>
      <c r="Z104" s="19">
        <v>23538841.010000002</v>
      </c>
      <c r="AA104" s="12" t="s">
        <v>43</v>
      </c>
      <c r="AB104" s="12"/>
      <c r="AC104" s="12"/>
      <c r="AD104" s="12"/>
      <c r="AE104" s="12"/>
      <c r="AF104" s="12"/>
      <c r="AG104" s="12" t="s">
        <v>55</v>
      </c>
      <c r="AH104" s="19">
        <v>23538841.010000002</v>
      </c>
      <c r="AI104" s="12" t="s">
        <v>44</v>
      </c>
      <c r="AJ104" s="28">
        <v>0.8</v>
      </c>
      <c r="AK104" s="16"/>
      <c r="AL104" s="12"/>
      <c r="AM104" s="12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</row>
    <row r="105" spans="1:207" ht="11.25" customHeight="1" x14ac:dyDescent="0.25">
      <c r="A105" s="25"/>
      <c r="B105" s="12" t="s">
        <v>41</v>
      </c>
      <c r="C105" s="12" t="s">
        <v>41</v>
      </c>
      <c r="D105" s="12" t="s">
        <v>41</v>
      </c>
      <c r="E105" s="18">
        <v>45748</v>
      </c>
      <c r="F105" s="18">
        <v>45748</v>
      </c>
      <c r="G105" s="18" t="s">
        <v>218</v>
      </c>
      <c r="H105" s="12" t="s">
        <v>150</v>
      </c>
      <c r="I105" s="12">
        <v>14</v>
      </c>
      <c r="J105" s="12" t="s">
        <v>42</v>
      </c>
      <c r="K105" s="12"/>
      <c r="L105" s="16" t="s">
        <v>66</v>
      </c>
      <c r="M105" s="16" t="s">
        <v>67</v>
      </c>
      <c r="N105" s="12" t="s">
        <v>153</v>
      </c>
      <c r="O105" s="12"/>
      <c r="P105" s="18">
        <v>45689</v>
      </c>
      <c r="Q105" s="19">
        <v>118998772.36</v>
      </c>
      <c r="R105" s="19"/>
      <c r="S105" s="19">
        <v>95199017.890000001</v>
      </c>
      <c r="T105" s="12" t="s">
        <v>69</v>
      </c>
      <c r="U105" s="12">
        <v>82</v>
      </c>
      <c r="V105" s="18">
        <v>45758</v>
      </c>
      <c r="W105" s="18">
        <v>45800</v>
      </c>
      <c r="X105" s="19">
        <v>95199017.890000001</v>
      </c>
      <c r="Y105" s="19"/>
      <c r="Z105" s="19">
        <v>95199017.890000001</v>
      </c>
      <c r="AA105" s="12" t="s">
        <v>43</v>
      </c>
      <c r="AB105" s="12"/>
      <c r="AC105" s="12"/>
      <c r="AD105" s="12"/>
      <c r="AE105" s="12"/>
      <c r="AF105" s="12"/>
      <c r="AG105" s="12" t="s">
        <v>55</v>
      </c>
      <c r="AH105" s="19">
        <v>95199017.890000001</v>
      </c>
      <c r="AI105" s="12" t="s">
        <v>44</v>
      </c>
      <c r="AJ105" s="28">
        <v>0.8</v>
      </c>
      <c r="AK105" s="16"/>
      <c r="AL105" s="12"/>
      <c r="AM105" s="12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</row>
    <row r="106" spans="1:207" ht="11.25" customHeight="1" x14ac:dyDescent="0.25">
      <c r="A106" s="25"/>
      <c r="B106" s="12" t="s">
        <v>41</v>
      </c>
      <c r="C106" s="12" t="s">
        <v>41</v>
      </c>
      <c r="D106" s="12" t="s">
        <v>41</v>
      </c>
      <c r="E106" s="18">
        <v>45768</v>
      </c>
      <c r="F106" s="18">
        <v>45768</v>
      </c>
      <c r="G106" s="18" t="s">
        <v>218</v>
      </c>
      <c r="H106" s="12" t="s">
        <v>150</v>
      </c>
      <c r="I106" s="12">
        <v>14</v>
      </c>
      <c r="J106" s="12" t="s">
        <v>42</v>
      </c>
      <c r="K106" s="12"/>
      <c r="L106" s="16" t="s">
        <v>66</v>
      </c>
      <c r="M106" s="16" t="s">
        <v>67</v>
      </c>
      <c r="N106" s="12" t="s">
        <v>68</v>
      </c>
      <c r="O106" s="12"/>
      <c r="P106" s="18">
        <v>45627</v>
      </c>
      <c r="Q106" s="19">
        <v>2191174909.6700001</v>
      </c>
      <c r="R106" s="19"/>
      <c r="S106" s="19">
        <v>1095587454.8399999</v>
      </c>
      <c r="T106" s="12" t="s">
        <v>69</v>
      </c>
      <c r="U106" s="12">
        <v>89</v>
      </c>
      <c r="V106" s="18">
        <v>45769</v>
      </c>
      <c r="W106" s="18">
        <v>45769</v>
      </c>
      <c r="X106" s="19">
        <v>1095587454.8399999</v>
      </c>
      <c r="Y106" s="19"/>
      <c r="Z106" s="19">
        <v>1095587454.8399999</v>
      </c>
      <c r="AA106" s="12" t="s">
        <v>43</v>
      </c>
      <c r="AB106" s="12"/>
      <c r="AC106" s="12"/>
      <c r="AD106" s="12"/>
      <c r="AE106" s="12"/>
      <c r="AF106" s="12"/>
      <c r="AG106" s="12" t="s">
        <v>55</v>
      </c>
      <c r="AH106" s="19">
        <v>1095587454.8399999</v>
      </c>
      <c r="AI106" s="12" t="s">
        <v>44</v>
      </c>
      <c r="AJ106" s="28">
        <v>0.5</v>
      </c>
      <c r="AK106" s="16"/>
      <c r="AL106" s="12"/>
      <c r="AM106" s="12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</row>
    <row r="107" spans="1:207" ht="11.25" customHeight="1" x14ac:dyDescent="0.25">
      <c r="A107" s="25"/>
      <c r="B107" s="12" t="s">
        <v>41</v>
      </c>
      <c r="C107" s="12" t="s">
        <v>41</v>
      </c>
      <c r="D107" s="12" t="s">
        <v>41</v>
      </c>
      <c r="E107" s="18">
        <v>45768</v>
      </c>
      <c r="F107" s="18">
        <v>45768</v>
      </c>
      <c r="G107" s="18" t="s">
        <v>218</v>
      </c>
      <c r="H107" s="12" t="s">
        <v>150</v>
      </c>
      <c r="I107" s="12">
        <v>14</v>
      </c>
      <c r="J107" s="12" t="s">
        <v>42</v>
      </c>
      <c r="K107" s="12"/>
      <c r="L107" s="16" t="s">
        <v>66</v>
      </c>
      <c r="M107" s="16" t="s">
        <v>67</v>
      </c>
      <c r="N107" s="12" t="s">
        <v>151</v>
      </c>
      <c r="O107" s="12"/>
      <c r="P107" s="18">
        <v>45627</v>
      </c>
      <c r="Q107" s="19">
        <v>490411351.81999999</v>
      </c>
      <c r="R107" s="19"/>
      <c r="S107" s="19">
        <v>392329081.45999998</v>
      </c>
      <c r="T107" s="12" t="s">
        <v>69</v>
      </c>
      <c r="U107" s="12">
        <v>91</v>
      </c>
      <c r="V107" s="18">
        <v>45769</v>
      </c>
      <c r="W107" s="18">
        <v>45800</v>
      </c>
      <c r="X107" s="19">
        <v>392329081.45999998</v>
      </c>
      <c r="Y107" s="19"/>
      <c r="Z107" s="19">
        <v>392329081.45999998</v>
      </c>
      <c r="AA107" s="12" t="s">
        <v>43</v>
      </c>
      <c r="AB107" s="12"/>
      <c r="AC107" s="12"/>
      <c r="AD107" s="12"/>
      <c r="AE107" s="12"/>
      <c r="AF107" s="12"/>
      <c r="AG107" s="12" t="s">
        <v>55</v>
      </c>
      <c r="AH107" s="19">
        <v>392329081.45999998</v>
      </c>
      <c r="AI107" s="12" t="s">
        <v>44</v>
      </c>
      <c r="AJ107" s="28">
        <v>0.8</v>
      </c>
      <c r="AK107" s="16"/>
      <c r="AL107" s="12"/>
      <c r="AM107" s="12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</row>
    <row r="108" spans="1:207" ht="11.25" customHeight="1" x14ac:dyDescent="0.25">
      <c r="A108" s="25"/>
      <c r="B108" s="12" t="s">
        <v>41</v>
      </c>
      <c r="C108" s="12" t="s">
        <v>41</v>
      </c>
      <c r="D108" s="12" t="s">
        <v>41</v>
      </c>
      <c r="E108" s="18">
        <v>45768</v>
      </c>
      <c r="F108" s="18">
        <v>45768</v>
      </c>
      <c r="G108" s="18" t="s">
        <v>218</v>
      </c>
      <c r="H108" s="12" t="s">
        <v>150</v>
      </c>
      <c r="I108" s="12">
        <v>14</v>
      </c>
      <c r="J108" s="12" t="s">
        <v>42</v>
      </c>
      <c r="K108" s="12"/>
      <c r="L108" s="16" t="s">
        <v>66</v>
      </c>
      <c r="M108" s="16" t="s">
        <v>67</v>
      </c>
      <c r="N108" s="12" t="s">
        <v>152</v>
      </c>
      <c r="O108" s="12"/>
      <c r="P108" s="18">
        <v>45627</v>
      </c>
      <c r="Q108" s="19">
        <v>417877359.39999998</v>
      </c>
      <c r="R108" s="19"/>
      <c r="S108" s="19">
        <v>334301887.51999998</v>
      </c>
      <c r="T108" s="12" t="s">
        <v>69</v>
      </c>
      <c r="U108" s="12">
        <v>92</v>
      </c>
      <c r="V108" s="18">
        <v>45769</v>
      </c>
      <c r="W108" s="18">
        <v>45800</v>
      </c>
      <c r="X108" s="19">
        <v>334301887.51999998</v>
      </c>
      <c r="Y108" s="19"/>
      <c r="Z108" s="19">
        <v>334301887.51999998</v>
      </c>
      <c r="AA108" s="12" t="s">
        <v>43</v>
      </c>
      <c r="AB108" s="12"/>
      <c r="AC108" s="12"/>
      <c r="AD108" s="12"/>
      <c r="AE108" s="12"/>
      <c r="AF108" s="12"/>
      <c r="AG108" s="12" t="s">
        <v>55</v>
      </c>
      <c r="AH108" s="19">
        <v>334301887.51999998</v>
      </c>
      <c r="AI108" s="12" t="s">
        <v>44</v>
      </c>
      <c r="AJ108" s="28">
        <v>0.8</v>
      </c>
      <c r="AK108" s="16"/>
      <c r="AL108" s="12"/>
      <c r="AM108" s="12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</row>
    <row r="109" spans="1:207" ht="11.25" customHeight="1" x14ac:dyDescent="0.25">
      <c r="A109" s="25"/>
      <c r="B109" s="12" t="s">
        <v>41</v>
      </c>
      <c r="C109" s="12" t="s">
        <v>41</v>
      </c>
      <c r="D109" s="12" t="s">
        <v>41</v>
      </c>
      <c r="E109" s="18">
        <v>45768</v>
      </c>
      <c r="F109" s="18">
        <v>45768</v>
      </c>
      <c r="G109" s="18" t="s">
        <v>218</v>
      </c>
      <c r="H109" s="12" t="s">
        <v>150</v>
      </c>
      <c r="I109" s="12">
        <v>14</v>
      </c>
      <c r="J109" s="12" t="s">
        <v>42</v>
      </c>
      <c r="K109" s="12"/>
      <c r="L109" s="16" t="s">
        <v>66</v>
      </c>
      <c r="M109" s="16" t="s">
        <v>67</v>
      </c>
      <c r="N109" s="12" t="s">
        <v>153</v>
      </c>
      <c r="O109" s="12"/>
      <c r="P109" s="18">
        <v>45627</v>
      </c>
      <c r="Q109" s="19">
        <v>174889657.61000001</v>
      </c>
      <c r="R109" s="19"/>
      <c r="S109" s="19">
        <v>139911726.09</v>
      </c>
      <c r="T109" s="12" t="s">
        <v>69</v>
      </c>
      <c r="U109" s="12">
        <v>93</v>
      </c>
      <c r="V109" s="18">
        <v>45769</v>
      </c>
      <c r="W109" s="18">
        <v>45800</v>
      </c>
      <c r="X109" s="19">
        <v>139911726.09</v>
      </c>
      <c r="Y109" s="19"/>
      <c r="Z109" s="19">
        <v>139911726.09</v>
      </c>
      <c r="AA109" s="12" t="s">
        <v>43</v>
      </c>
      <c r="AB109" s="12"/>
      <c r="AC109" s="12"/>
      <c r="AD109" s="12"/>
      <c r="AE109" s="12"/>
      <c r="AF109" s="12"/>
      <c r="AG109" s="12" t="s">
        <v>55</v>
      </c>
      <c r="AH109" s="19">
        <v>139911726.09</v>
      </c>
      <c r="AI109" s="12" t="s">
        <v>44</v>
      </c>
      <c r="AJ109" s="28">
        <v>0.8</v>
      </c>
      <c r="AK109" s="16"/>
      <c r="AL109" s="12"/>
      <c r="AM109" s="12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</row>
    <row r="110" spans="1:207" ht="11.25" customHeight="1" x14ac:dyDescent="0.25">
      <c r="A110" s="25"/>
      <c r="B110" s="12" t="s">
        <v>41</v>
      </c>
      <c r="C110" s="12" t="s">
        <v>41</v>
      </c>
      <c r="D110" s="12" t="s">
        <v>41</v>
      </c>
      <c r="E110" s="18">
        <v>45716</v>
      </c>
      <c r="F110" s="18">
        <v>45716</v>
      </c>
      <c r="G110" s="18" t="s">
        <v>218</v>
      </c>
      <c r="H110" s="12" t="s">
        <v>213</v>
      </c>
      <c r="I110" s="12">
        <v>14</v>
      </c>
      <c r="J110" s="12" t="s">
        <v>42</v>
      </c>
      <c r="K110" s="12"/>
      <c r="L110" s="16" t="s">
        <v>74</v>
      </c>
      <c r="M110" s="16" t="s">
        <v>74</v>
      </c>
      <c r="N110" s="12" t="s">
        <v>75</v>
      </c>
      <c r="O110" s="12"/>
      <c r="P110" s="18">
        <v>45716</v>
      </c>
      <c r="Q110" s="19">
        <v>3924909059.46</v>
      </c>
      <c r="R110" s="19"/>
      <c r="S110" s="19">
        <v>3924909059.46</v>
      </c>
      <c r="T110" s="12" t="s">
        <v>45</v>
      </c>
      <c r="U110" s="12">
        <v>60</v>
      </c>
      <c r="V110" s="18">
        <v>45716</v>
      </c>
      <c r="W110" s="18">
        <v>45716</v>
      </c>
      <c r="X110" s="19">
        <v>3924909059.46</v>
      </c>
      <c r="Y110" s="19"/>
      <c r="Z110" s="19">
        <v>3924909059.46</v>
      </c>
      <c r="AA110" s="12" t="s">
        <v>43</v>
      </c>
      <c r="AB110" s="12"/>
      <c r="AC110" s="12"/>
      <c r="AD110" s="12"/>
      <c r="AE110" s="12"/>
      <c r="AF110" s="12"/>
      <c r="AG110" s="12" t="s">
        <v>55</v>
      </c>
      <c r="AH110" s="19">
        <v>3924909059.46</v>
      </c>
      <c r="AI110" s="12" t="s">
        <v>56</v>
      </c>
      <c r="AJ110" s="16"/>
      <c r="AK110" s="16"/>
      <c r="AL110" s="12"/>
      <c r="AM110" s="12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</row>
    <row r="111" spans="1:207" ht="11.25" customHeight="1" x14ac:dyDescent="0.25">
      <c r="A111" s="25"/>
      <c r="B111" s="12" t="s">
        <v>41</v>
      </c>
      <c r="C111" s="12" t="s">
        <v>41</v>
      </c>
      <c r="D111" s="12" t="s">
        <v>41</v>
      </c>
      <c r="E111" s="18">
        <v>45744</v>
      </c>
      <c r="F111" s="18">
        <v>45744</v>
      </c>
      <c r="G111" s="18" t="s">
        <v>218</v>
      </c>
      <c r="H111" s="12" t="s">
        <v>213</v>
      </c>
      <c r="I111" s="12">
        <v>14</v>
      </c>
      <c r="J111" s="12" t="s">
        <v>42</v>
      </c>
      <c r="K111" s="12"/>
      <c r="L111" s="16" t="s">
        <v>74</v>
      </c>
      <c r="M111" s="16" t="s">
        <v>74</v>
      </c>
      <c r="N111" s="12" t="s">
        <v>75</v>
      </c>
      <c r="O111" s="12"/>
      <c r="P111" s="18">
        <v>45744</v>
      </c>
      <c r="Q111" s="19">
        <v>3371426436.5799999</v>
      </c>
      <c r="R111" s="19"/>
      <c r="S111" s="19">
        <v>3371426436.5799999</v>
      </c>
      <c r="T111" s="12" t="s">
        <v>45</v>
      </c>
      <c r="U111" s="12">
        <v>74</v>
      </c>
      <c r="V111" s="18">
        <v>45744</v>
      </c>
      <c r="W111" s="18">
        <v>45744</v>
      </c>
      <c r="X111" s="19">
        <v>3371426436.5799999</v>
      </c>
      <c r="Y111" s="19"/>
      <c r="Z111" s="19">
        <v>3371426436.5799999</v>
      </c>
      <c r="AA111" s="12" t="s">
        <v>43</v>
      </c>
      <c r="AB111" s="12"/>
      <c r="AC111" s="12"/>
      <c r="AD111" s="12"/>
      <c r="AE111" s="12"/>
      <c r="AF111" s="12"/>
      <c r="AG111" s="12" t="s">
        <v>55</v>
      </c>
      <c r="AH111" s="19">
        <v>3371426436.5799999</v>
      </c>
      <c r="AI111" s="12" t="s">
        <v>56</v>
      </c>
      <c r="AJ111" s="16"/>
      <c r="AK111" s="16"/>
      <c r="AL111" s="12"/>
      <c r="AM111" s="12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</row>
    <row r="112" spans="1:207" ht="11.25" customHeight="1" x14ac:dyDescent="0.25">
      <c r="A112" s="25"/>
      <c r="B112" s="12" t="s">
        <v>41</v>
      </c>
      <c r="C112" s="12" t="s">
        <v>41</v>
      </c>
      <c r="D112" s="12" t="s">
        <v>41</v>
      </c>
      <c r="E112" s="18">
        <v>45777</v>
      </c>
      <c r="F112" s="18">
        <v>45777</v>
      </c>
      <c r="G112" s="18" t="s">
        <v>218</v>
      </c>
      <c r="H112" s="12" t="s">
        <v>213</v>
      </c>
      <c r="I112" s="12">
        <v>14</v>
      </c>
      <c r="J112" s="12" t="s">
        <v>42</v>
      </c>
      <c r="K112" s="12"/>
      <c r="L112" s="16" t="s">
        <v>74</v>
      </c>
      <c r="M112" s="16" t="s">
        <v>74</v>
      </c>
      <c r="N112" s="12" t="s">
        <v>75</v>
      </c>
      <c r="O112" s="12"/>
      <c r="P112" s="18">
        <v>45777</v>
      </c>
      <c r="Q112" s="19">
        <v>2280336345.4499998</v>
      </c>
      <c r="R112" s="19"/>
      <c r="S112" s="19">
        <v>2280336345.4499998</v>
      </c>
      <c r="T112" s="12" t="s">
        <v>45</v>
      </c>
      <c r="U112" s="12">
        <v>102</v>
      </c>
      <c r="V112" s="18">
        <v>45777</v>
      </c>
      <c r="W112" s="18">
        <v>45777</v>
      </c>
      <c r="X112" s="19">
        <v>2280336345.4499998</v>
      </c>
      <c r="Y112" s="19"/>
      <c r="Z112" s="19">
        <v>2280336345.4499998</v>
      </c>
      <c r="AA112" s="12" t="s">
        <v>43</v>
      </c>
      <c r="AB112" s="12"/>
      <c r="AC112" s="12"/>
      <c r="AD112" s="12"/>
      <c r="AE112" s="12"/>
      <c r="AF112" s="12"/>
      <c r="AG112" s="12" t="s">
        <v>55</v>
      </c>
      <c r="AH112" s="19">
        <v>2280336345.4499998</v>
      </c>
      <c r="AI112" s="12" t="s">
        <v>56</v>
      </c>
      <c r="AJ112" s="16"/>
      <c r="AK112" s="16"/>
      <c r="AL112" s="12"/>
      <c r="AM112" s="12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</row>
    <row r="113" spans="1:207" ht="11.25" customHeight="1" x14ac:dyDescent="0.25">
      <c r="A113" s="25"/>
      <c r="B113" s="12" t="s">
        <v>41</v>
      </c>
      <c r="C113" s="12" t="s">
        <v>41</v>
      </c>
      <c r="D113" s="12" t="s">
        <v>41</v>
      </c>
      <c r="E113" s="18">
        <v>45807</v>
      </c>
      <c r="F113" s="18">
        <v>45807</v>
      </c>
      <c r="G113" s="18" t="s">
        <v>218</v>
      </c>
      <c r="H113" s="12" t="s">
        <v>213</v>
      </c>
      <c r="I113" s="12">
        <v>14</v>
      </c>
      <c r="J113" s="12" t="s">
        <v>42</v>
      </c>
      <c r="K113" s="12"/>
      <c r="L113" s="16" t="s">
        <v>74</v>
      </c>
      <c r="M113" s="16" t="s">
        <v>74</v>
      </c>
      <c r="N113" s="12" t="s">
        <v>75</v>
      </c>
      <c r="O113" s="12"/>
      <c r="P113" s="18">
        <v>45807</v>
      </c>
      <c r="Q113" s="19">
        <v>1558111836.8800001</v>
      </c>
      <c r="R113" s="19"/>
      <c r="S113" s="19">
        <v>1558111836.8800001</v>
      </c>
      <c r="T113" s="12" t="s">
        <v>45</v>
      </c>
      <c r="U113" s="12">
        <v>120</v>
      </c>
      <c r="V113" s="18">
        <v>45807</v>
      </c>
      <c r="W113" s="18">
        <v>45807</v>
      </c>
      <c r="X113" s="19">
        <v>1558111836.8800001</v>
      </c>
      <c r="Y113" s="19"/>
      <c r="Z113" s="19">
        <v>1558111836.8800001</v>
      </c>
      <c r="AA113" s="12" t="s">
        <v>43</v>
      </c>
      <c r="AB113" s="12"/>
      <c r="AC113" s="12"/>
      <c r="AD113" s="12"/>
      <c r="AE113" s="12"/>
      <c r="AF113" s="12"/>
      <c r="AG113" s="12" t="s">
        <v>55</v>
      </c>
      <c r="AH113" s="19">
        <v>1558111836.8800001</v>
      </c>
      <c r="AI113" s="12" t="s">
        <v>56</v>
      </c>
      <c r="AJ113" s="16"/>
      <c r="AK113" s="16"/>
      <c r="AL113" s="12"/>
      <c r="AM113" s="12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</row>
    <row r="114" spans="1:207" ht="11.25" customHeight="1" x14ac:dyDescent="0.25">
      <c r="A114" s="25"/>
      <c r="B114" s="12" t="s">
        <v>41</v>
      </c>
      <c r="C114" s="12" t="s">
        <v>41</v>
      </c>
      <c r="D114" s="12" t="s">
        <v>41</v>
      </c>
      <c r="E114" s="18">
        <v>45838</v>
      </c>
      <c r="F114" s="18">
        <v>45838</v>
      </c>
      <c r="G114" s="18" t="s">
        <v>218</v>
      </c>
      <c r="H114" s="12" t="s">
        <v>213</v>
      </c>
      <c r="I114" s="12">
        <v>14</v>
      </c>
      <c r="J114" s="12" t="s">
        <v>42</v>
      </c>
      <c r="K114" s="12"/>
      <c r="L114" s="16" t="s">
        <v>74</v>
      </c>
      <c r="M114" s="16" t="s">
        <v>74</v>
      </c>
      <c r="N114" s="12" t="s">
        <v>75</v>
      </c>
      <c r="O114" s="12"/>
      <c r="P114" s="18">
        <v>45838</v>
      </c>
      <c r="Q114" s="19">
        <v>1232245992.48</v>
      </c>
      <c r="R114" s="19"/>
      <c r="S114" s="19">
        <v>1232245992.48</v>
      </c>
      <c r="T114" s="12" t="s">
        <v>45</v>
      </c>
      <c r="U114" s="12">
        <v>149</v>
      </c>
      <c r="V114" s="18">
        <v>45838</v>
      </c>
      <c r="W114" s="18">
        <v>45838</v>
      </c>
      <c r="X114" s="19">
        <v>1232245992.48</v>
      </c>
      <c r="Y114" s="19"/>
      <c r="Z114" s="19">
        <v>1232245992.48</v>
      </c>
      <c r="AA114" s="12" t="s">
        <v>43</v>
      </c>
      <c r="AB114" s="12"/>
      <c r="AC114" s="12"/>
      <c r="AD114" s="12"/>
      <c r="AE114" s="12"/>
      <c r="AF114" s="12"/>
      <c r="AG114" s="12" t="s">
        <v>55</v>
      </c>
      <c r="AH114" s="19">
        <v>1232245992.48</v>
      </c>
      <c r="AI114" s="12" t="s">
        <v>56</v>
      </c>
      <c r="AJ114" s="16"/>
      <c r="AK114" s="16"/>
      <c r="AL114" s="12"/>
      <c r="AM114" s="12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</row>
    <row r="115" spans="1:207" ht="11.25" customHeight="1" x14ac:dyDescent="0.25">
      <c r="A115" s="25"/>
      <c r="B115" s="12" t="s">
        <v>41</v>
      </c>
      <c r="C115" s="12" t="s">
        <v>41</v>
      </c>
      <c r="D115" s="12" t="s">
        <v>41</v>
      </c>
      <c r="E115" s="18">
        <v>45838</v>
      </c>
      <c r="F115" s="18">
        <v>45838</v>
      </c>
      <c r="G115" s="18" t="s">
        <v>218</v>
      </c>
      <c r="H115" s="12" t="s">
        <v>213</v>
      </c>
      <c r="I115" s="12">
        <v>14</v>
      </c>
      <c r="J115" s="12" t="s">
        <v>42</v>
      </c>
      <c r="K115" s="12"/>
      <c r="L115" s="16" t="s">
        <v>48</v>
      </c>
      <c r="M115" s="16" t="s">
        <v>48</v>
      </c>
      <c r="N115" s="12" t="s">
        <v>214</v>
      </c>
      <c r="O115" s="12"/>
      <c r="P115" s="18">
        <v>45838</v>
      </c>
      <c r="Q115" s="19">
        <v>7179625487.789999</v>
      </c>
      <c r="R115" s="19"/>
      <c r="S115" s="19">
        <v>7179625487.789999</v>
      </c>
      <c r="T115" s="12" t="s">
        <v>45</v>
      </c>
      <c r="U115" s="12">
        <v>152</v>
      </c>
      <c r="V115" s="18">
        <v>45838</v>
      </c>
      <c r="W115" s="18">
        <v>45838</v>
      </c>
      <c r="X115" s="19">
        <v>7179625487.789999</v>
      </c>
      <c r="Y115" s="19"/>
      <c r="Z115" s="19">
        <v>7179625487.789999</v>
      </c>
      <c r="AA115" s="12" t="s">
        <v>43</v>
      </c>
      <c r="AB115" s="12"/>
      <c r="AC115" s="12"/>
      <c r="AD115" s="12"/>
      <c r="AE115" s="12"/>
      <c r="AF115" s="12"/>
      <c r="AG115" s="12" t="s">
        <v>55</v>
      </c>
      <c r="AH115" s="19">
        <v>7179625487.789999</v>
      </c>
      <c r="AI115" s="12" t="s">
        <v>56</v>
      </c>
      <c r="AJ115" s="16"/>
      <c r="AK115" s="16"/>
      <c r="AL115" s="12"/>
      <c r="AM115" s="12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</row>
    <row r="116" spans="1:207" ht="11.25" customHeight="1" x14ac:dyDescent="0.25">
      <c r="A116" s="25"/>
      <c r="B116" s="12" t="s">
        <v>41</v>
      </c>
      <c r="C116" s="12" t="s">
        <v>41</v>
      </c>
      <c r="D116" s="12" t="s">
        <v>41</v>
      </c>
      <c r="E116" s="18">
        <v>45838</v>
      </c>
      <c r="F116" s="18">
        <v>45838</v>
      </c>
      <c r="G116" s="18" t="s">
        <v>218</v>
      </c>
      <c r="H116" s="12" t="s">
        <v>213</v>
      </c>
      <c r="I116" s="12">
        <v>14</v>
      </c>
      <c r="J116" s="12" t="s">
        <v>42</v>
      </c>
      <c r="K116" s="12"/>
      <c r="L116" s="16" t="s">
        <v>66</v>
      </c>
      <c r="M116" s="16" t="s">
        <v>66</v>
      </c>
      <c r="N116" s="12" t="s">
        <v>215</v>
      </c>
      <c r="O116" s="12"/>
      <c r="P116" s="18">
        <v>45838</v>
      </c>
      <c r="Q116" s="19">
        <v>774813961.10000002</v>
      </c>
      <c r="R116" s="19"/>
      <c r="S116" s="19">
        <v>774813961.10000002</v>
      </c>
      <c r="T116" s="12" t="s">
        <v>45</v>
      </c>
      <c r="U116" s="12"/>
      <c r="V116" s="18">
        <v>45838</v>
      </c>
      <c r="W116" s="18">
        <v>45838</v>
      </c>
      <c r="X116" s="19">
        <v>774813961.10000002</v>
      </c>
      <c r="Y116" s="19"/>
      <c r="Z116" s="19">
        <v>774813961.10000002</v>
      </c>
      <c r="AA116" s="12" t="s">
        <v>43</v>
      </c>
      <c r="AB116" s="12"/>
      <c r="AC116" s="12"/>
      <c r="AD116" s="12"/>
      <c r="AE116" s="12"/>
      <c r="AF116" s="12"/>
      <c r="AG116" s="12" t="s">
        <v>55</v>
      </c>
      <c r="AH116" s="19">
        <v>774813961.10000002</v>
      </c>
      <c r="AI116" s="12" t="s">
        <v>56</v>
      </c>
      <c r="AJ116" s="16"/>
      <c r="AK116" s="16"/>
      <c r="AL116" s="12"/>
      <c r="AM116" s="12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</row>
    <row r="117" spans="1:207" ht="11.25" customHeight="1" x14ac:dyDescent="0.25">
      <c r="A117" s="25"/>
      <c r="B117" s="12" t="s">
        <v>41</v>
      </c>
      <c r="C117" s="12" t="s">
        <v>41</v>
      </c>
      <c r="D117" s="12" t="s">
        <v>41</v>
      </c>
      <c r="E117" s="18">
        <v>45838</v>
      </c>
      <c r="F117" s="18">
        <v>45838</v>
      </c>
      <c r="G117" s="18" t="s">
        <v>218</v>
      </c>
      <c r="H117" s="12" t="s">
        <v>213</v>
      </c>
      <c r="I117" s="12">
        <v>14</v>
      </c>
      <c r="J117" s="12" t="s">
        <v>42</v>
      </c>
      <c r="K117" s="12"/>
      <c r="L117" s="16" t="s">
        <v>216</v>
      </c>
      <c r="M117" s="16" t="s">
        <v>216</v>
      </c>
      <c r="N117" s="12"/>
      <c r="O117" s="12"/>
      <c r="P117" s="18">
        <v>45838</v>
      </c>
      <c r="Q117" s="19">
        <v>299548175.27999997</v>
      </c>
      <c r="R117" s="19"/>
      <c r="S117" s="19">
        <v>299548175.27999997</v>
      </c>
      <c r="T117" s="12" t="s">
        <v>45</v>
      </c>
      <c r="U117" s="12"/>
      <c r="V117" s="18">
        <v>45838</v>
      </c>
      <c r="W117" s="18">
        <v>45838</v>
      </c>
      <c r="X117" s="19">
        <v>299548175.27999997</v>
      </c>
      <c r="Y117" s="19"/>
      <c r="Z117" s="19">
        <v>299548175.27999997</v>
      </c>
      <c r="AA117" s="12" t="s">
        <v>43</v>
      </c>
      <c r="AB117" s="12"/>
      <c r="AC117" s="12"/>
      <c r="AD117" s="12"/>
      <c r="AE117" s="12"/>
      <c r="AF117" s="12"/>
      <c r="AG117" s="12" t="s">
        <v>55</v>
      </c>
      <c r="AH117" s="19">
        <v>299548175.27999997</v>
      </c>
      <c r="AI117" s="12" t="s">
        <v>56</v>
      </c>
      <c r="AJ117" s="16"/>
      <c r="AK117" s="16"/>
      <c r="AL117" s="12"/>
      <c r="AM117" s="12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</row>
    <row r="119" spans="1:207" x14ac:dyDescent="0.25">
      <c r="AA119" s="29"/>
    </row>
    <row r="120" spans="1:207" x14ac:dyDescent="0.25">
      <c r="Z120" s="22">
        <v>23556451680.439995</v>
      </c>
    </row>
    <row r="121" spans="1:207" x14ac:dyDescent="0.25">
      <c r="Z121" s="22">
        <v>30457476637.889996</v>
      </c>
    </row>
    <row r="122" spans="1:207" x14ac:dyDescent="0.25">
      <c r="Z122" s="22">
        <f>Z120+Z121</f>
        <v>54013928318.329987</v>
      </c>
    </row>
  </sheetData>
  <autoFilter ref="A5:IW117"/>
  <mergeCells count="29">
    <mergeCell ref="AI1:AI3"/>
    <mergeCell ref="AJ1:AJ3"/>
    <mergeCell ref="AK1:AK3"/>
    <mergeCell ref="AL1:AL3"/>
    <mergeCell ref="V2:Z2"/>
    <mergeCell ref="AC1:AC3"/>
    <mergeCell ref="AD1:AD3"/>
    <mergeCell ref="AE1:AE3"/>
    <mergeCell ref="AF1:AF3"/>
    <mergeCell ref="AG1:AG3"/>
    <mergeCell ref="AH1:AH3"/>
    <mergeCell ref="V1:AB1"/>
    <mergeCell ref="O1:O3"/>
    <mergeCell ref="P1:P3"/>
    <mergeCell ref="Q1:R2"/>
    <mergeCell ref="S1:S3"/>
    <mergeCell ref="T1:T3"/>
    <mergeCell ref="N1:N3"/>
    <mergeCell ref="A1:A3"/>
    <mergeCell ref="B1:B3"/>
    <mergeCell ref="C1:C3"/>
    <mergeCell ref="D1:D3"/>
    <mergeCell ref="E1:E3"/>
    <mergeCell ref="F1:F3"/>
    <mergeCell ref="H1:H3"/>
    <mergeCell ref="I1:I3"/>
    <mergeCell ref="J1:J3"/>
    <mergeCell ref="L1:L3"/>
    <mergeCell ref="M1:M3"/>
  </mergeCells>
  <conditionalFormatting sqref="N102">
    <cfRule type="duplicateValues" dxfId="7" priority="8"/>
  </conditionalFormatting>
  <conditionalFormatting sqref="N103">
    <cfRule type="duplicateValues" dxfId="6" priority="7"/>
  </conditionalFormatting>
  <conditionalFormatting sqref="N104">
    <cfRule type="duplicateValues" dxfId="5" priority="6"/>
  </conditionalFormatting>
  <conditionalFormatting sqref="N105">
    <cfRule type="duplicateValues" dxfId="4" priority="5"/>
  </conditionalFormatting>
  <conditionalFormatting sqref="N106">
    <cfRule type="duplicateValues" dxfId="3" priority="4"/>
  </conditionalFormatting>
  <conditionalFormatting sqref="N107">
    <cfRule type="duplicateValues" dxfId="2" priority="3"/>
  </conditionalFormatting>
  <conditionalFormatting sqref="N108">
    <cfRule type="duplicateValues" dxfId="1" priority="2"/>
  </conditionalFormatting>
  <conditionalFormatting sqref="N109">
    <cfRule type="duplicateValues" dxfId="0" priority="1"/>
  </conditionalFormatting>
  <pageMargins left="0" right="0" top="0" bottom="0" header="0.31496062992125984" footer="0.31496062992125984"/>
  <pageSetup paperSize="9" scale="8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selection activeCell="E1" sqref="E1"/>
    </sheetView>
  </sheetViews>
  <sheetFormatPr defaultRowHeight="15" x14ac:dyDescent="0.25"/>
  <sheetData>
    <row r="1" spans="1:5" x14ac:dyDescent="0.25">
      <c r="A1" t="s">
        <v>219</v>
      </c>
      <c r="B1" t="s">
        <v>220</v>
      </c>
      <c r="C1" t="s">
        <v>7</v>
      </c>
      <c r="D1" t="s">
        <v>221</v>
      </c>
      <c r="E1" t="s">
        <v>222</v>
      </c>
    </row>
    <row r="2" spans="1:5" x14ac:dyDescent="0.25">
      <c r="A2" t="s">
        <v>217</v>
      </c>
      <c r="B2" t="s">
        <v>71</v>
      </c>
      <c r="C2">
        <v>1.2</v>
      </c>
      <c r="E2">
        <v>2025</v>
      </c>
    </row>
    <row r="3" spans="1:5" x14ac:dyDescent="0.25">
      <c r="A3" t="s">
        <v>217</v>
      </c>
      <c r="B3" t="s">
        <v>71</v>
      </c>
      <c r="C3">
        <v>1.2</v>
      </c>
      <c r="E3">
        <v>2025</v>
      </c>
    </row>
    <row r="4" spans="1:5" x14ac:dyDescent="0.25">
      <c r="A4" t="s">
        <v>217</v>
      </c>
      <c r="B4" t="s">
        <v>71</v>
      </c>
      <c r="C4">
        <v>1.2</v>
      </c>
      <c r="E4">
        <v>2025</v>
      </c>
    </row>
    <row r="5" spans="1:5" x14ac:dyDescent="0.25">
      <c r="A5" t="s">
        <v>217</v>
      </c>
      <c r="B5" t="s">
        <v>71</v>
      </c>
      <c r="C5">
        <v>1.2</v>
      </c>
      <c r="E5">
        <v>2025</v>
      </c>
    </row>
    <row r="6" spans="1:5" x14ac:dyDescent="0.25">
      <c r="A6" t="s">
        <v>217</v>
      </c>
      <c r="B6" t="s">
        <v>71</v>
      </c>
      <c r="C6">
        <v>1.2</v>
      </c>
      <c r="E6">
        <v>2025</v>
      </c>
    </row>
    <row r="7" spans="1:5" x14ac:dyDescent="0.25">
      <c r="A7" t="s">
        <v>217</v>
      </c>
      <c r="B7" t="s">
        <v>71</v>
      </c>
      <c r="C7">
        <v>1.2</v>
      </c>
      <c r="E7">
        <v>2025</v>
      </c>
    </row>
    <row r="8" spans="1:5" x14ac:dyDescent="0.25">
      <c r="A8" t="s">
        <v>217</v>
      </c>
      <c r="B8" t="s">
        <v>71</v>
      </c>
      <c r="C8">
        <v>1.2</v>
      </c>
      <c r="E8">
        <v>2025</v>
      </c>
    </row>
    <row r="9" spans="1:5" x14ac:dyDescent="0.25">
      <c r="A9" t="s">
        <v>217</v>
      </c>
      <c r="B9" t="s">
        <v>71</v>
      </c>
      <c r="C9">
        <v>1.2</v>
      </c>
      <c r="E9">
        <v>2025</v>
      </c>
    </row>
    <row r="10" spans="1:5" x14ac:dyDescent="0.25">
      <c r="A10" t="s">
        <v>217</v>
      </c>
      <c r="B10" t="s">
        <v>57</v>
      </c>
      <c r="C10">
        <v>2</v>
      </c>
      <c r="D10">
        <v>25596814.32</v>
      </c>
      <c r="E10">
        <v>2025</v>
      </c>
    </row>
    <row r="11" spans="1:5" x14ac:dyDescent="0.25">
      <c r="A11" t="s">
        <v>217</v>
      </c>
      <c r="B11" t="s">
        <v>57</v>
      </c>
      <c r="C11">
        <v>2</v>
      </c>
      <c r="D11">
        <v>2962800</v>
      </c>
      <c r="E11">
        <v>2025</v>
      </c>
    </row>
    <row r="12" spans="1:5" x14ac:dyDescent="0.25">
      <c r="A12" t="s">
        <v>217</v>
      </c>
      <c r="B12" t="s">
        <v>57</v>
      </c>
      <c r="C12">
        <v>2</v>
      </c>
      <c r="D12">
        <v>11721072.029999999</v>
      </c>
      <c r="E12">
        <v>2025</v>
      </c>
    </row>
    <row r="13" spans="1:5" x14ac:dyDescent="0.25">
      <c r="A13" t="s">
        <v>217</v>
      </c>
      <c r="B13" t="s">
        <v>57</v>
      </c>
      <c r="C13">
        <v>2</v>
      </c>
      <c r="D13">
        <v>698600</v>
      </c>
      <c r="E13">
        <v>2025</v>
      </c>
    </row>
    <row r="14" spans="1:5" x14ac:dyDescent="0.25">
      <c r="A14" t="s">
        <v>217</v>
      </c>
      <c r="B14" t="s">
        <v>57</v>
      </c>
      <c r="C14">
        <v>2</v>
      </c>
      <c r="D14">
        <v>16640400</v>
      </c>
      <c r="E14">
        <v>2025</v>
      </c>
    </row>
    <row r="15" spans="1:5" x14ac:dyDescent="0.25">
      <c r="A15" t="s">
        <v>217</v>
      </c>
      <c r="B15" t="s">
        <v>57</v>
      </c>
      <c r="C15">
        <v>2</v>
      </c>
      <c r="D15">
        <v>51070056.920000002</v>
      </c>
      <c r="E15">
        <v>2025</v>
      </c>
    </row>
    <row r="16" spans="1:5" x14ac:dyDescent="0.25">
      <c r="A16" t="s">
        <v>217</v>
      </c>
      <c r="B16" t="s">
        <v>57</v>
      </c>
      <c r="C16">
        <v>2</v>
      </c>
      <c r="D16">
        <v>1659240</v>
      </c>
      <c r="E16">
        <v>2025</v>
      </c>
    </row>
    <row r="17" spans="1:5" x14ac:dyDescent="0.25">
      <c r="A17" t="s">
        <v>217</v>
      </c>
      <c r="B17" t="s">
        <v>57</v>
      </c>
      <c r="C17">
        <v>2</v>
      </c>
      <c r="D17">
        <v>9843500</v>
      </c>
      <c r="E17">
        <v>2025</v>
      </c>
    </row>
    <row r="18" spans="1:5" x14ac:dyDescent="0.25">
      <c r="A18" t="s">
        <v>217</v>
      </c>
      <c r="B18" t="s">
        <v>57</v>
      </c>
      <c r="C18">
        <v>2</v>
      </c>
      <c r="D18">
        <v>442800</v>
      </c>
      <c r="E18">
        <v>2025</v>
      </c>
    </row>
    <row r="19" spans="1:5" x14ac:dyDescent="0.25">
      <c r="A19" t="s">
        <v>217</v>
      </c>
      <c r="B19" t="s">
        <v>57</v>
      </c>
      <c r="C19">
        <v>2</v>
      </c>
      <c r="D19">
        <v>950000</v>
      </c>
      <c r="E19">
        <v>2025</v>
      </c>
    </row>
    <row r="20" spans="1:5" x14ac:dyDescent="0.25">
      <c r="A20" t="s">
        <v>217</v>
      </c>
      <c r="B20" t="s">
        <v>57</v>
      </c>
      <c r="C20">
        <v>2</v>
      </c>
      <c r="D20">
        <v>392000</v>
      </c>
      <c r="E20">
        <v>2025</v>
      </c>
    </row>
    <row r="21" spans="1:5" x14ac:dyDescent="0.25">
      <c r="A21" t="s">
        <v>217</v>
      </c>
      <c r="B21" t="s">
        <v>57</v>
      </c>
      <c r="C21">
        <v>2</v>
      </c>
      <c r="D21">
        <v>887932.38</v>
      </c>
      <c r="E21">
        <v>2025</v>
      </c>
    </row>
    <row r="22" spans="1:5" x14ac:dyDescent="0.25">
      <c r="A22" t="s">
        <v>217</v>
      </c>
      <c r="B22" t="s">
        <v>57</v>
      </c>
      <c r="C22">
        <v>2</v>
      </c>
      <c r="D22">
        <v>12002555.380000001</v>
      </c>
      <c r="E22">
        <v>2025</v>
      </c>
    </row>
    <row r="23" spans="1:5" x14ac:dyDescent="0.25">
      <c r="A23" t="s">
        <v>217</v>
      </c>
      <c r="B23" t="s">
        <v>57</v>
      </c>
      <c r="C23">
        <v>2</v>
      </c>
      <c r="D23">
        <v>3518057.74</v>
      </c>
      <c r="E23">
        <v>2025</v>
      </c>
    </row>
    <row r="24" spans="1:5" x14ac:dyDescent="0.25">
      <c r="A24" t="s">
        <v>217</v>
      </c>
      <c r="B24" t="s">
        <v>57</v>
      </c>
      <c r="C24">
        <v>2</v>
      </c>
      <c r="D24">
        <v>8433700</v>
      </c>
      <c r="E24">
        <v>2025</v>
      </c>
    </row>
    <row r="25" spans="1:5" x14ac:dyDescent="0.25">
      <c r="A25" t="s">
        <v>217</v>
      </c>
      <c r="B25" t="s">
        <v>57</v>
      </c>
      <c r="C25">
        <v>2</v>
      </c>
      <c r="D25">
        <v>470000</v>
      </c>
      <c r="E25">
        <v>2025</v>
      </c>
    </row>
    <row r="26" spans="1:5" x14ac:dyDescent="0.25">
      <c r="A26" t="s">
        <v>217</v>
      </c>
      <c r="B26" t="s">
        <v>57</v>
      </c>
      <c r="C26">
        <v>2</v>
      </c>
      <c r="D26">
        <v>12827200</v>
      </c>
      <c r="E26">
        <v>2025</v>
      </c>
    </row>
    <row r="27" spans="1:5" x14ac:dyDescent="0.25">
      <c r="A27" t="s">
        <v>217</v>
      </c>
      <c r="B27" t="s">
        <v>57</v>
      </c>
      <c r="C27">
        <v>2</v>
      </c>
      <c r="D27">
        <v>77172569.25</v>
      </c>
      <c r="E27">
        <v>2025</v>
      </c>
    </row>
    <row r="28" spans="1:5" x14ac:dyDescent="0.25">
      <c r="A28" t="s">
        <v>217</v>
      </c>
      <c r="B28" t="s">
        <v>57</v>
      </c>
      <c r="C28">
        <v>2</v>
      </c>
      <c r="D28">
        <v>283500</v>
      </c>
      <c r="E28">
        <v>2025</v>
      </c>
    </row>
    <row r="29" spans="1:5" x14ac:dyDescent="0.25">
      <c r="A29" t="s">
        <v>217</v>
      </c>
      <c r="B29" t="s">
        <v>57</v>
      </c>
      <c r="C29">
        <v>2</v>
      </c>
      <c r="D29">
        <v>18371451.960000001</v>
      </c>
      <c r="E29">
        <v>2025</v>
      </c>
    </row>
    <row r="30" spans="1:5" x14ac:dyDescent="0.25">
      <c r="A30" t="s">
        <v>217</v>
      </c>
      <c r="B30" t="s">
        <v>57</v>
      </c>
      <c r="C30">
        <v>2</v>
      </c>
      <c r="D30">
        <v>795798.6</v>
      </c>
      <c r="E30">
        <v>2025</v>
      </c>
    </row>
    <row r="31" spans="1:5" x14ac:dyDescent="0.25">
      <c r="A31" t="s">
        <v>217</v>
      </c>
      <c r="B31" t="s">
        <v>57</v>
      </c>
      <c r="C31">
        <v>2</v>
      </c>
      <c r="D31">
        <v>1470000</v>
      </c>
      <c r="E31">
        <v>2025</v>
      </c>
    </row>
    <row r="32" spans="1:5" x14ac:dyDescent="0.25">
      <c r="A32" t="s">
        <v>217</v>
      </c>
      <c r="B32" t="s">
        <v>57</v>
      </c>
      <c r="C32">
        <v>2</v>
      </c>
      <c r="D32">
        <v>616000</v>
      </c>
      <c r="E32">
        <v>2025</v>
      </c>
    </row>
    <row r="33" spans="1:5" x14ac:dyDescent="0.25">
      <c r="A33" t="s">
        <v>217</v>
      </c>
      <c r="B33" t="s">
        <v>57</v>
      </c>
      <c r="C33">
        <v>2</v>
      </c>
      <c r="D33">
        <v>1654600</v>
      </c>
      <c r="E33">
        <v>2025</v>
      </c>
    </row>
    <row r="34" spans="1:5" x14ac:dyDescent="0.25">
      <c r="A34" t="s">
        <v>217</v>
      </c>
      <c r="B34" t="s">
        <v>57</v>
      </c>
      <c r="C34">
        <v>2</v>
      </c>
      <c r="D34">
        <v>2656200</v>
      </c>
      <c r="E34">
        <v>2025</v>
      </c>
    </row>
    <row r="35" spans="1:5" x14ac:dyDescent="0.25">
      <c r="A35" t="s">
        <v>217</v>
      </c>
      <c r="B35" t="s">
        <v>57</v>
      </c>
      <c r="C35">
        <v>2</v>
      </c>
      <c r="D35">
        <v>7274000</v>
      </c>
      <c r="E35">
        <v>2025</v>
      </c>
    </row>
    <row r="36" spans="1:5" x14ac:dyDescent="0.25">
      <c r="A36" t="s">
        <v>217</v>
      </c>
      <c r="B36" t="s">
        <v>57</v>
      </c>
      <c r="C36">
        <v>2</v>
      </c>
      <c r="D36">
        <v>2810210.15</v>
      </c>
      <c r="E36">
        <v>2025</v>
      </c>
    </row>
    <row r="37" spans="1:5" x14ac:dyDescent="0.25">
      <c r="A37" t="s">
        <v>217</v>
      </c>
      <c r="B37" t="s">
        <v>57</v>
      </c>
      <c r="C37">
        <v>2</v>
      </c>
      <c r="D37">
        <v>6084900</v>
      </c>
      <c r="E37">
        <v>2025</v>
      </c>
    </row>
    <row r="38" spans="1:5" x14ac:dyDescent="0.25">
      <c r="A38" t="s">
        <v>217</v>
      </c>
      <c r="B38" t="s">
        <v>57</v>
      </c>
      <c r="C38">
        <v>2</v>
      </c>
      <c r="D38">
        <v>890000</v>
      </c>
      <c r="E38">
        <v>2025</v>
      </c>
    </row>
    <row r="39" spans="1:5" x14ac:dyDescent="0.25">
      <c r="A39" t="s">
        <v>217</v>
      </c>
      <c r="B39" t="s">
        <v>57</v>
      </c>
      <c r="C39">
        <v>2</v>
      </c>
      <c r="D39">
        <v>16745706.52</v>
      </c>
      <c r="E39">
        <v>2025</v>
      </c>
    </row>
    <row r="40" spans="1:5" x14ac:dyDescent="0.25">
      <c r="A40" t="s">
        <v>217</v>
      </c>
      <c r="B40" t="s">
        <v>57</v>
      </c>
      <c r="C40">
        <v>2</v>
      </c>
      <c r="D40">
        <v>58412501.079999998</v>
      </c>
      <c r="E40">
        <v>2025</v>
      </c>
    </row>
    <row r="41" spans="1:5" x14ac:dyDescent="0.25">
      <c r="A41" t="s">
        <v>217</v>
      </c>
      <c r="B41" t="s">
        <v>57</v>
      </c>
      <c r="C41">
        <v>2</v>
      </c>
      <c r="D41">
        <v>1053090</v>
      </c>
      <c r="E41">
        <v>2025</v>
      </c>
    </row>
    <row r="42" spans="1:5" x14ac:dyDescent="0.25">
      <c r="A42" t="s">
        <v>217</v>
      </c>
      <c r="B42" t="s">
        <v>57</v>
      </c>
      <c r="C42">
        <v>2</v>
      </c>
      <c r="D42">
        <v>18442800</v>
      </c>
      <c r="E42">
        <v>2025</v>
      </c>
    </row>
    <row r="43" spans="1:5" x14ac:dyDescent="0.25">
      <c r="A43" t="s">
        <v>217</v>
      </c>
      <c r="B43" t="s">
        <v>57</v>
      </c>
      <c r="C43">
        <v>2</v>
      </c>
      <c r="D43">
        <v>250000</v>
      </c>
      <c r="E43">
        <v>2025</v>
      </c>
    </row>
    <row r="44" spans="1:5" x14ac:dyDescent="0.25">
      <c r="A44" t="s">
        <v>217</v>
      </c>
      <c r="B44" t="s">
        <v>57</v>
      </c>
      <c r="C44">
        <v>2</v>
      </c>
      <c r="D44">
        <v>220000</v>
      </c>
      <c r="E44">
        <v>2025</v>
      </c>
    </row>
    <row r="45" spans="1:5" x14ac:dyDescent="0.25">
      <c r="A45" t="s">
        <v>217</v>
      </c>
      <c r="B45" t="s">
        <v>57</v>
      </c>
      <c r="C45">
        <v>2</v>
      </c>
      <c r="D45">
        <v>280000</v>
      </c>
      <c r="E45">
        <v>2025</v>
      </c>
    </row>
    <row r="46" spans="1:5" x14ac:dyDescent="0.25">
      <c r="A46" t="s">
        <v>217</v>
      </c>
      <c r="B46" t="s">
        <v>57</v>
      </c>
      <c r="C46">
        <v>2</v>
      </c>
      <c r="D46">
        <v>400000</v>
      </c>
      <c r="E46">
        <v>2025</v>
      </c>
    </row>
    <row r="47" spans="1:5" x14ac:dyDescent="0.25">
      <c r="A47" t="s">
        <v>217</v>
      </c>
      <c r="B47" t="s">
        <v>57</v>
      </c>
      <c r="C47">
        <v>2</v>
      </c>
      <c r="D47">
        <v>1450000</v>
      </c>
      <c r="E47">
        <v>2025</v>
      </c>
    </row>
    <row r="48" spans="1:5" x14ac:dyDescent="0.25">
      <c r="A48" t="s">
        <v>217</v>
      </c>
      <c r="B48" t="s">
        <v>57</v>
      </c>
      <c r="C48">
        <v>2</v>
      </c>
      <c r="D48">
        <v>9890000</v>
      </c>
      <c r="E48">
        <v>2025</v>
      </c>
    </row>
    <row r="49" spans="1:5" x14ac:dyDescent="0.25">
      <c r="A49" t="s">
        <v>217</v>
      </c>
      <c r="B49" t="s">
        <v>57</v>
      </c>
      <c r="C49">
        <v>2</v>
      </c>
      <c r="D49">
        <v>20905822</v>
      </c>
      <c r="E49">
        <v>2025</v>
      </c>
    </row>
    <row r="50" spans="1:5" x14ac:dyDescent="0.25">
      <c r="A50" t="s">
        <v>217</v>
      </c>
      <c r="B50" t="s">
        <v>57</v>
      </c>
      <c r="C50">
        <v>2</v>
      </c>
      <c r="D50">
        <v>720000</v>
      </c>
      <c r="E50">
        <v>2025</v>
      </c>
    </row>
    <row r="51" spans="1:5" x14ac:dyDescent="0.25">
      <c r="A51" t="s">
        <v>217</v>
      </c>
      <c r="B51" t="s">
        <v>57</v>
      </c>
      <c r="C51">
        <v>2</v>
      </c>
      <c r="D51">
        <v>1284000</v>
      </c>
      <c r="E51">
        <v>2025</v>
      </c>
    </row>
    <row r="52" spans="1:5" x14ac:dyDescent="0.25">
      <c r="A52" t="s">
        <v>217</v>
      </c>
      <c r="B52" t="s">
        <v>57</v>
      </c>
      <c r="C52">
        <v>2</v>
      </c>
      <c r="D52">
        <v>600000</v>
      </c>
      <c r="E52">
        <v>2025</v>
      </c>
    </row>
    <row r="53" spans="1:5" x14ac:dyDescent="0.25">
      <c r="A53" t="s">
        <v>217</v>
      </c>
      <c r="B53" t="s">
        <v>57</v>
      </c>
      <c r="C53">
        <v>2</v>
      </c>
      <c r="D53">
        <v>9241741.8100000005</v>
      </c>
      <c r="E53">
        <v>2025</v>
      </c>
    </row>
    <row r="54" spans="1:5" x14ac:dyDescent="0.25">
      <c r="A54" t="s">
        <v>217</v>
      </c>
      <c r="B54" t="s">
        <v>57</v>
      </c>
      <c r="C54">
        <v>2</v>
      </c>
      <c r="D54">
        <v>56998812.140000001</v>
      </c>
      <c r="E54">
        <v>2025</v>
      </c>
    </row>
    <row r="55" spans="1:5" x14ac:dyDescent="0.25">
      <c r="A55" t="s">
        <v>217</v>
      </c>
      <c r="B55" t="s">
        <v>57</v>
      </c>
      <c r="C55">
        <v>2</v>
      </c>
      <c r="D55">
        <v>9614650</v>
      </c>
      <c r="E55">
        <v>2025</v>
      </c>
    </row>
    <row r="56" spans="1:5" x14ac:dyDescent="0.25">
      <c r="A56" t="s">
        <v>217</v>
      </c>
      <c r="B56" t="s">
        <v>57</v>
      </c>
      <c r="C56">
        <v>2</v>
      </c>
      <c r="D56">
        <v>966000</v>
      </c>
      <c r="E56">
        <v>2025</v>
      </c>
    </row>
    <row r="57" spans="1:5" x14ac:dyDescent="0.25">
      <c r="A57" t="s">
        <v>217</v>
      </c>
      <c r="B57" t="s">
        <v>57</v>
      </c>
      <c r="C57">
        <v>2</v>
      </c>
      <c r="D57">
        <v>2426567.1800000002</v>
      </c>
      <c r="E57">
        <v>2025</v>
      </c>
    </row>
    <row r="58" spans="1:5" x14ac:dyDescent="0.25">
      <c r="A58" t="s">
        <v>217</v>
      </c>
      <c r="B58" t="s">
        <v>57</v>
      </c>
      <c r="C58">
        <v>2</v>
      </c>
      <c r="D58">
        <v>7230000.1100000003</v>
      </c>
      <c r="E58">
        <v>2025</v>
      </c>
    </row>
    <row r="59" spans="1:5" x14ac:dyDescent="0.25">
      <c r="A59" t="s">
        <v>217</v>
      </c>
      <c r="B59" t="s">
        <v>57</v>
      </c>
      <c r="C59">
        <v>2</v>
      </c>
      <c r="D59">
        <v>14806250</v>
      </c>
      <c r="E59">
        <v>2025</v>
      </c>
    </row>
    <row r="60" spans="1:5" x14ac:dyDescent="0.25">
      <c r="A60" t="s">
        <v>217</v>
      </c>
      <c r="B60" t="s">
        <v>57</v>
      </c>
      <c r="C60">
        <v>2</v>
      </c>
      <c r="D60">
        <v>871000</v>
      </c>
      <c r="E60">
        <v>2025</v>
      </c>
    </row>
    <row r="61" spans="1:5" x14ac:dyDescent="0.25">
      <c r="A61" t="s">
        <v>217</v>
      </c>
      <c r="B61" t="s">
        <v>57</v>
      </c>
      <c r="C61">
        <v>2</v>
      </c>
      <c r="D61">
        <v>15428215.119999999</v>
      </c>
      <c r="E61">
        <v>2025</v>
      </c>
    </row>
    <row r="62" spans="1:5" x14ac:dyDescent="0.25">
      <c r="A62" t="s">
        <v>217</v>
      </c>
      <c r="B62" t="s">
        <v>57</v>
      </c>
      <c r="C62">
        <v>2</v>
      </c>
      <c r="D62">
        <v>7020476.4299999997</v>
      </c>
      <c r="E62">
        <v>2025</v>
      </c>
    </row>
    <row r="63" spans="1:5" x14ac:dyDescent="0.25">
      <c r="A63" t="s">
        <v>217</v>
      </c>
      <c r="B63" t="s">
        <v>57</v>
      </c>
      <c r="C63">
        <v>2</v>
      </c>
      <c r="D63">
        <v>1097000</v>
      </c>
      <c r="E63">
        <v>2025</v>
      </c>
    </row>
    <row r="64" spans="1:5" x14ac:dyDescent="0.25">
      <c r="A64" t="s">
        <v>217</v>
      </c>
      <c r="B64" t="s">
        <v>57</v>
      </c>
      <c r="C64">
        <v>2</v>
      </c>
      <c r="D64">
        <v>7007213</v>
      </c>
      <c r="E64">
        <v>2025</v>
      </c>
    </row>
    <row r="65" spans="1:5" x14ac:dyDescent="0.25">
      <c r="A65" t="s">
        <v>217</v>
      </c>
      <c r="B65" t="s">
        <v>57</v>
      </c>
      <c r="C65">
        <v>2</v>
      </c>
      <c r="D65">
        <v>3789920</v>
      </c>
      <c r="E65">
        <v>2025</v>
      </c>
    </row>
    <row r="66" spans="1:5" x14ac:dyDescent="0.25">
      <c r="A66" t="s">
        <v>217</v>
      </c>
      <c r="B66" t="s">
        <v>57</v>
      </c>
      <c r="C66">
        <v>2</v>
      </c>
      <c r="D66">
        <v>26984750</v>
      </c>
      <c r="E66">
        <v>2025</v>
      </c>
    </row>
    <row r="67" spans="1:5" x14ac:dyDescent="0.25">
      <c r="A67" t="s">
        <v>217</v>
      </c>
      <c r="B67" t="s">
        <v>57</v>
      </c>
      <c r="C67">
        <v>2</v>
      </c>
      <c r="D67">
        <v>59431002.479999997</v>
      </c>
      <c r="E67">
        <v>2025</v>
      </c>
    </row>
    <row r="68" spans="1:5" x14ac:dyDescent="0.25">
      <c r="A68" t="s">
        <v>217</v>
      </c>
      <c r="B68" t="s">
        <v>57</v>
      </c>
      <c r="C68">
        <v>2</v>
      </c>
      <c r="D68">
        <v>13419382.49</v>
      </c>
      <c r="E68">
        <v>2025</v>
      </c>
    </row>
    <row r="69" spans="1:5" x14ac:dyDescent="0.25">
      <c r="A69" t="s">
        <v>217</v>
      </c>
      <c r="B69" t="s">
        <v>57</v>
      </c>
      <c r="C69">
        <v>2</v>
      </c>
      <c r="D69">
        <v>2772364.06</v>
      </c>
      <c r="E69">
        <v>2025</v>
      </c>
    </row>
    <row r="70" spans="1:5" x14ac:dyDescent="0.25">
      <c r="A70" t="s">
        <v>217</v>
      </c>
      <c r="B70" t="s">
        <v>57</v>
      </c>
      <c r="C70">
        <v>2</v>
      </c>
      <c r="D70">
        <v>33519481</v>
      </c>
      <c r="E70">
        <v>2025</v>
      </c>
    </row>
    <row r="71" spans="1:5" x14ac:dyDescent="0.25">
      <c r="A71" t="s">
        <v>217</v>
      </c>
      <c r="B71" t="s">
        <v>57</v>
      </c>
      <c r="C71">
        <v>2</v>
      </c>
      <c r="D71">
        <v>11946800</v>
      </c>
      <c r="E71">
        <v>2025</v>
      </c>
    </row>
    <row r="72" spans="1:5" x14ac:dyDescent="0.25">
      <c r="A72" t="s">
        <v>217</v>
      </c>
      <c r="B72" t="s">
        <v>57</v>
      </c>
      <c r="C72">
        <v>2</v>
      </c>
      <c r="D72">
        <v>4515223.3499999996</v>
      </c>
      <c r="E72">
        <v>2025</v>
      </c>
    </row>
    <row r="73" spans="1:5" x14ac:dyDescent="0.25">
      <c r="A73" t="s">
        <v>217</v>
      </c>
      <c r="B73" t="s">
        <v>57</v>
      </c>
      <c r="C73">
        <v>2</v>
      </c>
      <c r="D73">
        <v>7484811</v>
      </c>
      <c r="E73">
        <v>2025</v>
      </c>
    </row>
    <row r="74" spans="1:5" x14ac:dyDescent="0.25">
      <c r="A74" t="s">
        <v>217</v>
      </c>
      <c r="B74" t="s">
        <v>57</v>
      </c>
      <c r="C74">
        <v>2</v>
      </c>
      <c r="D74">
        <v>6927713.2800000003</v>
      </c>
      <c r="E74">
        <v>2025</v>
      </c>
    </row>
    <row r="75" spans="1:5" x14ac:dyDescent="0.25">
      <c r="A75" t="s">
        <v>217</v>
      </c>
      <c r="B75" t="s">
        <v>57</v>
      </c>
      <c r="C75">
        <v>2</v>
      </c>
      <c r="D75">
        <v>6896428.5300000003</v>
      </c>
      <c r="E75">
        <v>2025</v>
      </c>
    </row>
    <row r="76" spans="1:5" x14ac:dyDescent="0.25">
      <c r="A76" t="s">
        <v>217</v>
      </c>
      <c r="B76" t="s">
        <v>57</v>
      </c>
      <c r="C76">
        <v>2</v>
      </c>
      <c r="D76">
        <v>66896460</v>
      </c>
      <c r="E76">
        <v>2025</v>
      </c>
    </row>
    <row r="77" spans="1:5" x14ac:dyDescent="0.25">
      <c r="A77" t="s">
        <v>217</v>
      </c>
      <c r="B77" t="s">
        <v>57</v>
      </c>
      <c r="C77">
        <v>2</v>
      </c>
      <c r="D77">
        <v>745000</v>
      </c>
      <c r="E77">
        <v>2025</v>
      </c>
    </row>
    <row r="78" spans="1:5" x14ac:dyDescent="0.25">
      <c r="A78" t="s">
        <v>217</v>
      </c>
      <c r="B78" t="s">
        <v>57</v>
      </c>
      <c r="C78">
        <v>2</v>
      </c>
      <c r="D78">
        <v>2000000</v>
      </c>
      <c r="E78">
        <v>2025</v>
      </c>
    </row>
    <row r="79" spans="1:5" x14ac:dyDescent="0.25">
      <c r="A79" t="s">
        <v>217</v>
      </c>
      <c r="B79" t="s">
        <v>57</v>
      </c>
      <c r="C79">
        <v>2</v>
      </c>
      <c r="D79">
        <v>650000</v>
      </c>
      <c r="E79">
        <v>2025</v>
      </c>
    </row>
    <row r="80" spans="1:5" x14ac:dyDescent="0.25">
      <c r="A80" t="s">
        <v>217</v>
      </c>
      <c r="B80" t="s">
        <v>57</v>
      </c>
      <c r="C80">
        <v>2</v>
      </c>
      <c r="D80">
        <v>1900000</v>
      </c>
      <c r="E80">
        <v>2025</v>
      </c>
    </row>
    <row r="81" spans="1:5" x14ac:dyDescent="0.25">
      <c r="A81" t="s">
        <v>217</v>
      </c>
      <c r="B81" t="s">
        <v>57</v>
      </c>
      <c r="C81">
        <v>2</v>
      </c>
      <c r="D81">
        <v>983800</v>
      </c>
      <c r="E81">
        <v>2025</v>
      </c>
    </row>
    <row r="82" spans="1:5" x14ac:dyDescent="0.25">
      <c r="A82" t="s">
        <v>217</v>
      </c>
      <c r="B82" t="s">
        <v>57</v>
      </c>
      <c r="C82">
        <v>2</v>
      </c>
      <c r="D82">
        <v>11001577.199999999</v>
      </c>
      <c r="E82">
        <v>2025</v>
      </c>
    </row>
    <row r="83" spans="1:5" x14ac:dyDescent="0.25">
      <c r="A83" t="s">
        <v>217</v>
      </c>
      <c r="B83" t="s">
        <v>57</v>
      </c>
      <c r="C83">
        <v>2</v>
      </c>
      <c r="D83">
        <v>2020337.26</v>
      </c>
      <c r="E83">
        <v>2025</v>
      </c>
    </row>
    <row r="84" spans="1:5" x14ac:dyDescent="0.25">
      <c r="A84" t="s">
        <v>217</v>
      </c>
      <c r="B84" t="s">
        <v>57</v>
      </c>
      <c r="C84">
        <v>2</v>
      </c>
      <c r="D84">
        <v>9005386</v>
      </c>
      <c r="E84">
        <v>2025</v>
      </c>
    </row>
    <row r="85" spans="1:5" x14ac:dyDescent="0.25">
      <c r="A85" t="s">
        <v>217</v>
      </c>
      <c r="B85" t="s">
        <v>57</v>
      </c>
      <c r="C85">
        <v>2</v>
      </c>
      <c r="D85">
        <v>4674000</v>
      </c>
      <c r="E85">
        <v>2025</v>
      </c>
    </row>
    <row r="86" spans="1:5" x14ac:dyDescent="0.25">
      <c r="A86" t="s">
        <v>217</v>
      </c>
      <c r="B86" t="s">
        <v>57</v>
      </c>
      <c r="C86">
        <v>2</v>
      </c>
      <c r="D86">
        <v>5994500</v>
      </c>
      <c r="E86">
        <v>2025</v>
      </c>
    </row>
    <row r="87" spans="1:5" x14ac:dyDescent="0.25">
      <c r="A87" t="s">
        <v>217</v>
      </c>
      <c r="B87" t="s">
        <v>57</v>
      </c>
      <c r="C87">
        <v>2</v>
      </c>
      <c r="D87">
        <v>42351570.909999996</v>
      </c>
      <c r="E87">
        <v>2025</v>
      </c>
    </row>
    <row r="88" spans="1:5" x14ac:dyDescent="0.25">
      <c r="A88" t="s">
        <v>217</v>
      </c>
      <c r="B88" t="s">
        <v>57</v>
      </c>
      <c r="C88">
        <v>2</v>
      </c>
      <c r="D88">
        <v>956400</v>
      </c>
      <c r="E88">
        <v>2025</v>
      </c>
    </row>
    <row r="89" spans="1:5" x14ac:dyDescent="0.25">
      <c r="A89" t="s">
        <v>217</v>
      </c>
      <c r="B89" t="s">
        <v>57</v>
      </c>
      <c r="C89">
        <v>2</v>
      </c>
      <c r="D89">
        <v>7177226.9400000004</v>
      </c>
      <c r="E89">
        <v>2025</v>
      </c>
    </row>
    <row r="90" spans="1:5" x14ac:dyDescent="0.25">
      <c r="A90" t="s">
        <v>217</v>
      </c>
      <c r="B90" t="s">
        <v>57</v>
      </c>
      <c r="C90">
        <v>2</v>
      </c>
      <c r="D90">
        <v>80000</v>
      </c>
      <c r="E90">
        <v>2025</v>
      </c>
    </row>
    <row r="91" spans="1:5" x14ac:dyDescent="0.25">
      <c r="A91" t="s">
        <v>217</v>
      </c>
      <c r="B91" t="s">
        <v>57</v>
      </c>
      <c r="C91">
        <v>2</v>
      </c>
      <c r="D91">
        <v>300000</v>
      </c>
      <c r="E91">
        <v>2025</v>
      </c>
    </row>
    <row r="92" spans="1:5" x14ac:dyDescent="0.25">
      <c r="A92" t="s">
        <v>217</v>
      </c>
      <c r="B92" t="s">
        <v>57</v>
      </c>
      <c r="C92">
        <v>2</v>
      </c>
      <c r="D92">
        <v>1923120</v>
      </c>
      <c r="E92">
        <v>2025</v>
      </c>
    </row>
    <row r="93" spans="1:5" x14ac:dyDescent="0.25">
      <c r="A93" t="s">
        <v>217</v>
      </c>
      <c r="B93" t="s">
        <v>57</v>
      </c>
      <c r="C93">
        <v>2</v>
      </c>
      <c r="D93">
        <v>2598000</v>
      </c>
      <c r="E93">
        <v>2025</v>
      </c>
    </row>
    <row r="94" spans="1:5" x14ac:dyDescent="0.25">
      <c r="A94" t="s">
        <v>217</v>
      </c>
      <c r="B94" t="s">
        <v>57</v>
      </c>
      <c r="C94">
        <v>2</v>
      </c>
      <c r="D94">
        <v>50733000</v>
      </c>
      <c r="E94">
        <v>2025</v>
      </c>
    </row>
    <row r="95" spans="1:5" x14ac:dyDescent="0.25">
      <c r="A95" t="s">
        <v>217</v>
      </c>
      <c r="B95" t="s">
        <v>57</v>
      </c>
      <c r="C95">
        <v>2</v>
      </c>
      <c r="D95">
        <v>13340000</v>
      </c>
      <c r="E95">
        <v>2025</v>
      </c>
    </row>
    <row r="96" spans="1:5" x14ac:dyDescent="0.25">
      <c r="A96" t="s">
        <v>217</v>
      </c>
      <c r="B96" t="s">
        <v>57</v>
      </c>
      <c r="C96">
        <v>2</v>
      </c>
      <c r="D96">
        <v>10350000</v>
      </c>
      <c r="E96">
        <v>2025</v>
      </c>
    </row>
    <row r="97" spans="1:5" x14ac:dyDescent="0.25">
      <c r="A97" t="s">
        <v>218</v>
      </c>
      <c r="B97" t="s">
        <v>150</v>
      </c>
      <c r="C97">
        <v>14</v>
      </c>
      <c r="D97">
        <v>277904841.99000001</v>
      </c>
      <c r="E97">
        <v>2025</v>
      </c>
    </row>
    <row r="98" spans="1:5" x14ac:dyDescent="0.25">
      <c r="A98" t="s">
        <v>218</v>
      </c>
      <c r="B98" t="s">
        <v>150</v>
      </c>
      <c r="C98">
        <v>14</v>
      </c>
      <c r="D98">
        <v>105993861</v>
      </c>
      <c r="E98">
        <v>2025</v>
      </c>
    </row>
    <row r="99" spans="1:5" x14ac:dyDescent="0.25">
      <c r="A99" t="s">
        <v>218</v>
      </c>
      <c r="B99" t="s">
        <v>150</v>
      </c>
      <c r="C99">
        <v>14</v>
      </c>
      <c r="D99">
        <v>26746514.57</v>
      </c>
      <c r="E99">
        <v>2025</v>
      </c>
    </row>
    <row r="100" spans="1:5" x14ac:dyDescent="0.25">
      <c r="A100" t="s">
        <v>218</v>
      </c>
      <c r="B100" t="s">
        <v>150</v>
      </c>
      <c r="C100">
        <v>14</v>
      </c>
      <c r="D100">
        <v>23538841.010000002</v>
      </c>
      <c r="E100">
        <v>2025</v>
      </c>
    </row>
    <row r="101" spans="1:5" x14ac:dyDescent="0.25">
      <c r="A101" t="s">
        <v>218</v>
      </c>
      <c r="B101" t="s">
        <v>150</v>
      </c>
      <c r="C101">
        <v>14</v>
      </c>
      <c r="D101">
        <v>95199017.890000001</v>
      </c>
      <c r="E101">
        <v>2025</v>
      </c>
    </row>
    <row r="102" spans="1:5" x14ac:dyDescent="0.25">
      <c r="A102" t="s">
        <v>218</v>
      </c>
      <c r="B102" t="s">
        <v>150</v>
      </c>
      <c r="C102">
        <v>14</v>
      </c>
      <c r="D102">
        <v>1095587454.8399999</v>
      </c>
      <c r="E102">
        <v>2025</v>
      </c>
    </row>
    <row r="103" spans="1:5" x14ac:dyDescent="0.25">
      <c r="A103" t="s">
        <v>218</v>
      </c>
      <c r="B103" t="s">
        <v>150</v>
      </c>
      <c r="C103">
        <v>14</v>
      </c>
      <c r="D103">
        <v>392329081.45999998</v>
      </c>
      <c r="E103">
        <v>2025</v>
      </c>
    </row>
    <row r="104" spans="1:5" x14ac:dyDescent="0.25">
      <c r="A104" t="s">
        <v>218</v>
      </c>
      <c r="B104" t="s">
        <v>150</v>
      </c>
      <c r="C104">
        <v>14</v>
      </c>
      <c r="D104">
        <v>334301887.51999998</v>
      </c>
      <c r="E104">
        <v>2025</v>
      </c>
    </row>
    <row r="105" spans="1:5" x14ac:dyDescent="0.25">
      <c r="A105" t="s">
        <v>218</v>
      </c>
      <c r="B105" t="s">
        <v>150</v>
      </c>
      <c r="C105">
        <v>14</v>
      </c>
      <c r="D105">
        <v>139911726.09</v>
      </c>
      <c r="E105">
        <v>2025</v>
      </c>
    </row>
    <row r="106" spans="1:5" x14ac:dyDescent="0.25">
      <c r="A106" t="s">
        <v>218</v>
      </c>
      <c r="B106" t="s">
        <v>213</v>
      </c>
      <c r="C106">
        <v>14</v>
      </c>
      <c r="D106">
        <v>3924909059.46</v>
      </c>
      <c r="E106">
        <v>2025</v>
      </c>
    </row>
    <row r="107" spans="1:5" x14ac:dyDescent="0.25">
      <c r="A107" t="s">
        <v>218</v>
      </c>
      <c r="B107" t="s">
        <v>213</v>
      </c>
      <c r="C107">
        <v>14</v>
      </c>
      <c r="D107">
        <v>3371426436.5799999</v>
      </c>
      <c r="E107">
        <v>2025</v>
      </c>
    </row>
    <row r="108" spans="1:5" x14ac:dyDescent="0.25">
      <c r="A108" t="s">
        <v>218</v>
      </c>
      <c r="B108" t="s">
        <v>213</v>
      </c>
      <c r="C108">
        <v>14</v>
      </c>
      <c r="D108">
        <v>2280336345.4499998</v>
      </c>
      <c r="E108">
        <v>2025</v>
      </c>
    </row>
    <row r="109" spans="1:5" x14ac:dyDescent="0.25">
      <c r="A109" t="s">
        <v>218</v>
      </c>
      <c r="B109" t="s">
        <v>213</v>
      </c>
      <c r="C109">
        <v>14</v>
      </c>
      <c r="D109">
        <v>1558111836.8800001</v>
      </c>
      <c r="E109">
        <v>2025</v>
      </c>
    </row>
    <row r="110" spans="1:5" x14ac:dyDescent="0.25">
      <c r="A110" t="s">
        <v>218</v>
      </c>
      <c r="B110" t="s">
        <v>213</v>
      </c>
      <c r="C110">
        <v>14</v>
      </c>
      <c r="D110">
        <v>1232245992.48</v>
      </c>
      <c r="E110">
        <v>2025</v>
      </c>
    </row>
    <row r="111" spans="1:5" x14ac:dyDescent="0.25">
      <c r="A111" t="s">
        <v>218</v>
      </c>
      <c r="B111" t="s">
        <v>213</v>
      </c>
      <c r="C111">
        <v>14</v>
      </c>
      <c r="D111">
        <v>7179625487.789999</v>
      </c>
      <c r="E111">
        <v>2025</v>
      </c>
    </row>
    <row r="112" spans="1:5" x14ac:dyDescent="0.25">
      <c r="A112" t="s">
        <v>218</v>
      </c>
      <c r="B112" t="s">
        <v>213</v>
      </c>
      <c r="C112">
        <v>14</v>
      </c>
      <c r="D112">
        <v>774813961.10000002</v>
      </c>
      <c r="E112">
        <v>2025</v>
      </c>
    </row>
    <row r="113" spans="1:5" x14ac:dyDescent="0.25">
      <c r="A113" t="s">
        <v>218</v>
      </c>
      <c r="B113" t="s">
        <v>213</v>
      </c>
      <c r="C113">
        <v>14</v>
      </c>
      <c r="D113">
        <v>299548175.27999997</v>
      </c>
      <c r="E113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F9D55DFEA65441BD8451B116991E28" ma:contentTypeVersion="10" ma:contentTypeDescription="Create a new document." ma:contentTypeScope="" ma:versionID="ecec23d2135d4900f68d46688c6a50cc">
  <xsd:schema xmlns:xsd="http://www.w3.org/2001/XMLSchema" xmlns:xs="http://www.w3.org/2001/XMLSchema" xmlns:p="http://schemas.microsoft.com/office/2006/metadata/properties" xmlns:ns2="378253a6-7e01-459f-87a7-3574fda26998" xmlns:ns3="33cebd2a-05f3-475e-bfb8-7c330eed935d" targetNamespace="http://schemas.microsoft.com/office/2006/metadata/properties" ma:root="true" ma:fieldsID="27138537717aaa6e49420b163c7c37f1" ns2:_="" ns3:_="">
    <xsd:import namespace="378253a6-7e01-459f-87a7-3574fda26998"/>
    <xsd:import namespace="33cebd2a-05f3-475e-bfb8-7c330eed93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253a6-7e01-459f-87a7-3574fda26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ebd2a-05f3-475e-bfb8-7c330eed93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d6596-dd25-4191-8672-08d958dd0530}" ma:internalName="TaxCatchAll" ma:showField="CatchAllData" ma:web="33cebd2a-05f3-475e-bfb8-7c330eed93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8253a6-7e01-459f-87a7-3574fda26998">
      <Terms xmlns="http://schemas.microsoft.com/office/infopath/2007/PartnerControls"/>
    </lcf76f155ced4ddcb4097134ff3c332f>
    <TaxCatchAll xmlns="33cebd2a-05f3-475e-bfb8-7c330eed935d" xsi:nil="true"/>
  </documentManagement>
</p:properties>
</file>

<file path=customXml/itemProps1.xml><?xml version="1.0" encoding="utf-8"?>
<ds:datastoreItem xmlns:ds="http://schemas.openxmlformats.org/officeDocument/2006/customXml" ds:itemID="{29A53F21-DF06-4A76-B8AF-FA15E5EF30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EB6BB3-B23E-467A-97CE-5C5F9F1772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8253a6-7e01-459f-87a7-3574fda26998"/>
    <ds:schemaRef ds:uri="33cebd2a-05f3-475e-bfb8-7c330eed93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495E1D-F0B4-416F-88AB-8BBF1CE4EECF}">
  <ds:schemaRefs>
    <ds:schemaRef ds:uri="http://schemas.microsoft.com/office/2006/metadata/properties"/>
    <ds:schemaRef ds:uri="http://schemas.microsoft.com/office/infopath/2007/PartnerControls"/>
    <ds:schemaRef ds:uri="378253a6-7e01-459f-87a7-3574fda26998"/>
    <ds:schemaRef ds:uri="33cebd2a-05f3-475e-bfb8-7c330eed93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ИХТИЁРИЙ</vt:lpstr>
      <vt:lpstr>2025.1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Yodgor Kasimov</dc:creator>
  <cp:lastModifiedBy>HP</cp:lastModifiedBy>
  <cp:lastPrinted>2025-01-22T05:39:50Z</cp:lastPrinted>
  <dcterms:created xsi:type="dcterms:W3CDTF">2024-07-22T13:02:23Z</dcterms:created>
  <dcterms:modified xsi:type="dcterms:W3CDTF">2026-04-14T16:40:44Z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0x0101004CF9D55DFEA65441BD8451B116991E28</vt:lpwstr>
  </property>
  <property fmtid="{D5CDD505-2E9C-101B-9397-08002B2CF9AE}" pid="3" name="Order">
    <vt:r8>345400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